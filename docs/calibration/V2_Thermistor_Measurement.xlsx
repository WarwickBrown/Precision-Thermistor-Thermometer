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Analysis Notes" sheetId="2" r:id="rId6"/>
    <sheet state="visible" name="Thermistor_1" sheetId="3" r:id="rId7"/>
    <sheet state="visible" name="Thermistor_2" sheetId="4" r:id="rId8"/>
    <sheet state="visible" name="Comparison" sheetId="5" r:id="rId9"/>
  </sheets>
  <definedNames/>
  <calcPr/>
</workbook>
</file>

<file path=xl/sharedStrings.xml><?xml version="1.0" encoding="utf-8"?>
<sst xmlns="http://schemas.openxmlformats.org/spreadsheetml/2006/main" count="170" uniqueCount="109">
  <si>
    <t>NTC Thermistor Calibration Template — How to Use</t>
  </si>
  <si>
    <t>Purpose</t>
  </si>
  <si>
    <t>Fit two models to each thermistor: the 2-parameter B model (R₀, B) and the 3-parameter Steinhart-Hart model (A, B, C). Plot of ln(R) vs 1/T should be a straight line with slope B. The Steinhart-Hart fit captures the mild curvature the B-model can't.</t>
  </si>
  <si>
    <t>Procedure — thermal setup</t>
  </si>
  <si>
    <t>1. Fill a small insulated water bath (a vacuum flask or stirred beaker on a hotplate works). Bond the two thermistors together with your reference probe (multimeter temp probe or DS18B20) using a small blob of thermal compound wrapped in thin heat-shrink or PTFE tape. Goal: identical thermal mass touching the same water. 2. Stir continuously — unstirred water can have several-°C gradients between the probe and the thermistor only centimetres away. A small aquarium pump or magnetic stirrer is perfect. 3. Start cold (ice slurry, not just cold tap water — crushed ice + water gives a rock-solid 0.0 °C plateau for ~10 minutes). Then work upward: 10, 20, 30, 40, 50, 60, 70, 80 °C. You can drop points if you're short on time — eight good points is plenty. 4. At each set-point, wait until BOTH the reference reading and the thermistor resistance stop drifting (usually 60–120 s after you stop adding heat or ice). Record T_ref and R_meas simultaneously into the Thermistor_1 / Thermistor_2 sheets.</t>
  </si>
  <si>
    <t>Procedure — electrical</t>
  </si>
  <si>
    <t>• Measure R in 2-wire mode on your multimeter if R is above ~1 kΩ; use 4-wire if it's lower. • Keep your DMM's test current low (most meters apply &lt;1 mA on the kΩ range); glass-bead NTCs have dissipation constants around 1–2 mW/°C in still water, much better when submerged and stirred. At 1 mA through a 10 kΩ bead, P = 10 mW, which gives a few mK of self-heating in stirred water — fine. In still air you'd get several °C of error. • Leave the same wiring between bench and bath throughout calibration. Contact resistance changes are your enemy.</t>
  </si>
  <si>
    <t>What the columns do</t>
  </si>
  <si>
    <t>T_ref (°C) and R_meas (Ω) are your inputs (blue cells). Everything else auto-computes: T in Kelvin, 1/T, ln(R), the fitted resistance from the B-model, and the residual %. The (ln R)³ helper columns feed the LINEST call that solves the Steinhart-Hart coefficients.</t>
  </si>
  <si>
    <t>Reading the fit</t>
  </si>
  <si>
    <t>• B value: typical glass-bead NTCs are 3000–4500 K. A value outside that range usually means either the part is unusual or your data has a bad point. • R²: you want ≥ 0.999 for a clean bead. Lower than 0.995 means you've got non-equilibrium points or a bad contact. • Residual (%): should be within ±1 % across most of the range for the B-model; the Steinhart-Hart fit typically brings this down to &lt;0.1 % if your data is clean.</t>
  </si>
  <si>
    <t>Google Sheets notes</t>
  </si>
  <si>
    <t>This file opens directly in Google Sheets (File → Import → Upload). All formulas (SLOPE, INTERCEPT, RSQ, LINEST, INDEX, IFERROR, EXP, LN) work identically there. The embedded scatter chart may render as a static object; if you want to edit it, right-click → 'Open with Google Sheets' or recreate: Insert → Chart → Scatter → X = column E (1/T), Y = column F (ln R).</t>
  </si>
  <si>
    <t>Analysis Notes — v2 additions</t>
  </si>
  <si>
    <t>What changed</t>
  </si>
  <si>
    <t>Added a new analysis block at the bottom of each thermistor sheet (rows 45–66) and six new helper columns (L–Q). The original 20-point full-range B-model and Steinhart-Hart fits are untouched, so you can compare the two approaches side by side. The Comparison sheet has a new block of rows (15 onward) showing the narrow-range results.</t>
  </si>
  <si>
    <t>Why a narrow-range fit was added</t>
  </si>
  <si>
    <t>The original full-range SH fit has ~0.27 °C residual RMS because of non-equilibrium data at the cold (points 1–4) and hot (points 18–20) extremes — the bath was ramping, not settled. These outer points dragged the global fit coefficients around even though they won't be visited during operation. Fitting only the 5–40 °C subset (10 points per thermistor) gives coefficients that are specifically tuned to the quiet middle of the calibration, and residuals in the 10–30 °C operating range collapse to ~0.10 °C RMS — close to what your reference probe's 0.1 °C digit can even resolve.</t>
  </si>
  <si>
    <t>Why B-model and not Steinhart-Hart</t>
  </si>
  <si>
    <t>The classic curvature that justifies Steinhart-Hart (the "smile" residual pattern) only matters when you fit across a wide temperature span. Over a 35 °C fit window (5–40 °C), the B-model — a straight line of ln R versus 1/T — is effectively indistinguishable from SH. Fewer parameters also means less risk of overfitting, and the two-parameter form is trivial to invert in firmware: T = B / (ln R − intercept) − 273.15. If you later widen the operating range beyond ~40 °C, re-evaluate.</t>
  </si>
  <si>
    <t>How the fit is calculated (since SLOPE/LINEST wouldn't work)</t>
  </si>
  <si>
    <t>SLOPE, INTERCEPT, and LINEST refuse ranges that contain non-numeric values, and our in-range mask leaves zeros for ignored rows. So the B-fit is computed by hand via the closed-form least-squares formulas: slope = (n·Σxy − Σx·Σy) / (n·Σxx − (Σx)²) and intercept = (Σy − slope·Σx) / n, where x = 1/T_K, y = ln R, and the sums run over rows where the mask indicator L = 1. R² is computed from the same sums. This is exactly what SLOPE/INTERCEPT do internally; we just made the masking explicit.</t>
  </si>
  <si>
    <t>How to tune the fit</t>
  </si>
  <si>
    <t>The four blue input cells (B47–B50) control the two windows. B47–B48 define which points enter the fit (default 5 to 40 °C). B49–B50 define which points are used for the residual statistics (default 10 to 30 °C, your actual operating range). Change either pair and every dependent cell recomputes. Useful sanity checks: tightening the fit window to 10–30 °C gives the purest operating-range fit but fewer degrees of freedom (6 points, 4 DOF); widening to 0–60 °C starts to let the bad tail points back in and inflates residuals.</t>
  </si>
  <si>
    <t>What to do with the narrow-range coefficients</t>
  </si>
  <si>
    <t>Paste the narrow-range B (row 53) and intercept (row 54) from each thermistor sheet into the Arduino firmware's per-channel calibration. The conversion is R → T using T_C = B / (LN(R) − intercept) − 273.15. If you'd rather work with the Steinhart-Hart form (A + B·ln R + C·(ln R)³), the existing full-range SH coefficients at rows 40–42 are still usable — just expect the ~0.27 °C residual RMS rather than ~0.10 °C. For a precision-only application in 10–30 °C, the narrow B-fit is the better choice.</t>
  </si>
  <si>
    <t>Helper columns (L–Q) reference</t>
  </si>
  <si>
    <t>L = in-fit-range indicator (1 if B47 ≤ T_ref ≤ B48, else 0). M = in-op-range indicator. N = 1/T in kelvin, but zeroed when L=0 (so SUMPRODUCT works). O = ln R, zeroed when L=0. P = temperature predicted from measured R via the narrow-range fit (shown for every data point so you can spot-check). Q = residual in °C, but blank outside the operating range so MIN/MAX/COUNT/SUMSQ aggregate only over the relevant subset.</t>
  </si>
  <si>
    <t>Matching between the two thermistors (updated)</t>
  </si>
  <si>
    <t>Full-range fits: B differs by 15.7 K (0.41 %), R₀ by 631 Ω (0.64 %). Narrow-range fits: B differs by ~4 K (0.1 %), R₀ by ~340 Ω (0.3 %). The pair is more closely matched than the original fits suggested — the extra scatter in the wide-range fits was absorbing non-equilibrium error, not real bead-to-bead variation.</t>
  </si>
  <si>
    <t>NTC Thermistor Characterization — NTC-01</t>
  </si>
  <si>
    <t>Thermistor ID:</t>
  </si>
  <si>
    <t>NTC-01</t>
  </si>
  <si>
    <t>Reference T₀ (°C):</t>
  </si>
  <si>
    <t>T₀ (K):</t>
  </si>
  <si>
    <t>Measurement Data  (fill the blue cells — T_ref is your reference probe, R_meas is multimeter reading)</t>
  </si>
  <si>
    <t>Point #</t>
  </si>
  <si>
    <t>T_ref (°C)</t>
  </si>
  <si>
    <t>T_ref (K)</t>
  </si>
  <si>
    <t>R_meas (Ω)</t>
  </si>
  <si>
    <t>1/T (1/K)</t>
  </si>
  <si>
    <t>ln(R)</t>
  </si>
  <si>
    <t>R_fit B-model (Ω)</t>
  </si>
  <si>
    <t>Residual (%)</t>
  </si>
  <si>
    <t>(ln R)³  [SH helper]</t>
  </si>
  <si>
    <t>ln R (SH)</t>
  </si>
  <si>
    <t>(ln R)³ (SH)</t>
  </si>
  <si>
    <t>In fit range</t>
  </si>
  <si>
    <t>In op range</t>
  </si>
  <si>
    <t>fit-masked 1/T</t>
  </si>
  <si>
    <t>fit-masked ln R</t>
  </si>
  <si>
    <t>T_narrow (°C)</t>
  </si>
  <si>
    <t>Resid. in op (°C)</t>
  </si>
  <si>
    <t>B-Parameter Model:  R(T) = R₀·exp(B·(1/T − 1/T₀))   →   plot ln(R) vs 1/T gives slope = B</t>
  </si>
  <si>
    <t>Slope  B (K)</t>
  </si>
  <si>
    <t>R₀ fitted at T₀ (Ω)</t>
  </si>
  <si>
    <t>Intercept (ln R₀ − B/T₀)</t>
  </si>
  <si>
    <t>R² of ln(R) vs 1/T</t>
  </si>
  <si>
    <t>Points used (N)</t>
  </si>
  <si>
    <t>R @ 25 °C (from fit) (Ω)</t>
  </si>
  <si>
    <t>R @ 0  °C (from fit) (Ω)</t>
  </si>
  <si>
    <t>R @ 50 °C (from fit) (Ω)</t>
  </si>
  <si>
    <t>Steinhart-Hart Model:  1/T = A + B·ln(R) + C·(ln R)³   (LINEST multi-variable regression)</t>
  </si>
  <si>
    <t>Coefficient A</t>
  </si>
  <si>
    <t>Coefficient B</t>
  </si>
  <si>
    <t>Coefficient C</t>
  </si>
  <si>
    <t>T @ R=R₀ (SH, °C)  check</t>
  </si>
  <si>
    <t>Narrow-range analysis  —  fit only the operating-range data (added in v2)</t>
  </si>
  <si>
    <t>Fit range — T_min (°C):</t>
  </si>
  <si>
    <t>Fit range — T_max (°C):</t>
  </si>
  <si>
    <t>Operating range — T_min (°C):</t>
  </si>
  <si>
    <t>Operating range — T_max (°C):</t>
  </si>
  <si>
    <t>Narrow-range B-model fit  (closed-form least squares on masked rows)</t>
  </si>
  <si>
    <t>B value (K)</t>
  </si>
  <si>
    <t>R₀ fitted at 25 °C (Ω)</t>
  </si>
  <si>
    <t>Points used in fit (N)</t>
  </si>
  <si>
    <t>R² of narrow fit</t>
  </si>
  <si>
    <t>Residual statistics  —  restricted to operating range only  (what you'll actually experience)</t>
  </si>
  <si>
    <t>Points in operating range</t>
  </si>
  <si>
    <t>Residual RMS (°C)</t>
  </si>
  <si>
    <t>Residual min (°C)</t>
  </si>
  <si>
    <t>Residual max (°C)</t>
  </si>
  <si>
    <t>Residual mean offset (°C)</t>
  </si>
  <si>
    <t>Use the narrow-range B and intercept above in your firmware. T(R) = B / (ln R − intercept) − 273.15.  Residual RMS shows the actual precision you can expect in the operating window.</t>
  </si>
  <si>
    <t>NTC Thermistor Characterization — NTC-02</t>
  </si>
  <si>
    <t>NTC-02</t>
  </si>
  <si>
    <t>Summary &amp; Comparison</t>
  </si>
  <si>
    <t>Parameter</t>
  </si>
  <si>
    <t>Thermistor 1</t>
  </si>
  <si>
    <t>Thermistor 2</t>
  </si>
  <si>
    <t>Ratio / Note</t>
  </si>
  <si>
    <t>ID</t>
  </si>
  <si>
    <t>R₀ fitted (Ω) at 25 °C</t>
  </si>
  <si>
    <t>R²</t>
  </si>
  <si>
    <t>R @ 0 °C (Ω)</t>
  </si>
  <si>
    <t>R @ 50 °C (Ω)</t>
  </si>
  <si>
    <t>SH Coefficient A</t>
  </si>
  <si>
    <t>SH Coefficient B</t>
  </si>
  <si>
    <t>SH Coefficient C</t>
  </si>
  <si>
    <t>Narrow-range fit results (v2)  —  the values you should actually use</t>
  </si>
  <si>
    <t>B value (K) — narrow fit</t>
  </si>
  <si>
    <t>Intercept — narrow fit</t>
  </si>
  <si>
    <t>R₀ at 25 °C (Ω) — narrow</t>
  </si>
  <si>
    <t>Points used in fit</t>
  </si>
  <si>
    <t>Points in op range</t>
  </si>
  <si>
    <t>Residual RMS in op (°C)</t>
  </si>
  <si>
    <t>Residual min in op (°C)</t>
  </si>
  <si>
    <t>Residual max in op (°C)</t>
  </si>
  <si>
    <t>Residual mean in op (°C)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</si>
</sst>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"/>
    <numFmt numFmtId="165" formatCode="0.00000000"/>
    <numFmt numFmtId="166" formatCode="0.00000"/>
    <numFmt numFmtId="167" formatCode="0.0000"/>
    <numFmt numFmtId="168" formatCode="0.0"/>
    <numFmt numFmtId="169" formatCode="0.000000"/>
    <numFmt numFmtId="170" formatCode="0.000000E+00"/>
  </numFmts>
  <fonts count="10">
    <font>
      <sz val="11.0"/>
      <color theme="1"/>
      <name val="Calibri"/>
      <scheme val="minor"/>
    </font>
    <font>
      <b/>
      <sz val="14.0"/>
      <color rgb="FFFFFFFF"/>
      <name val="Arial"/>
    </font>
    <font>
      <sz val="10.0"/>
      <color theme="1"/>
      <name val="Arial"/>
    </font>
    <font>
      <b/>
      <sz val="11.0"/>
      <color rgb="FFFFFFFF"/>
      <name val="Arial"/>
    </font>
    <font/>
    <font>
      <b/>
      <sz val="10.0"/>
      <color theme="1"/>
      <name val="Arial"/>
    </font>
    <font>
      <b/>
      <sz val="10.0"/>
      <color rgb="FF0000FF"/>
      <name val="Arial"/>
    </font>
    <font>
      <sz val="11.0"/>
      <color theme="1"/>
      <name val="Calibri"/>
    </font>
    <font>
      <b/>
      <sz val="11.0"/>
      <color rgb="FFC00000"/>
      <name val="Arial"/>
    </font>
    <font>
      <i/>
      <sz val="10.0"/>
      <color rgb="FF0F513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0" fillId="0" fontId="2" numFmtId="0" xfId="0" applyAlignment="1" applyFont="1">
      <alignment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top" wrapText="1"/>
    </xf>
    <xf borderId="1" fillId="3" fontId="3" numFmtId="0" xfId="0" applyAlignment="1" applyBorder="1" applyFont="1">
      <alignment horizontal="left" shrinkToFit="0" vertical="center" wrapText="0"/>
    </xf>
    <xf borderId="2" fillId="2" fontId="1" numFmtId="0" xfId="0" applyAlignment="1" applyBorder="1" applyFont="1">
      <alignment horizontal="left" shrinkToFit="0" vertical="center" wrapText="0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shrinkToFit="0" vertical="bottom" wrapText="0"/>
    </xf>
    <xf borderId="1" fillId="4" fontId="6" numFmtId="0" xfId="0" applyAlignment="1" applyBorder="1" applyFill="1" applyFont="1">
      <alignment shrinkToFit="0" vertical="bottom" wrapText="0"/>
    </xf>
    <xf borderId="1" fillId="4" fontId="6" numFmtId="2" xfId="0" applyAlignment="1" applyBorder="1" applyFont="1" applyNumberForma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2" numFmtId="2" xfId="0" applyAlignment="1" applyFont="1" applyNumberFormat="1">
      <alignment shrinkToFit="0" vertical="bottom" wrapText="0"/>
    </xf>
    <xf borderId="2" fillId="3" fontId="3" numFmtId="0" xfId="0" applyAlignment="1" applyBorder="1" applyFont="1">
      <alignment horizontal="left" shrinkToFit="0" vertical="center" wrapText="0"/>
    </xf>
    <xf borderId="5" fillId="5" fontId="5" numFmtId="0" xfId="0" applyAlignment="1" applyBorder="1" applyFill="1" applyFont="1">
      <alignment horizontal="center" shrinkToFit="0" vertical="bottom" wrapText="1"/>
    </xf>
    <xf borderId="5" fillId="6" fontId="5" numFmtId="0" xfId="0" applyAlignment="1" applyBorder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0"/>
    </xf>
    <xf borderId="5" fillId="4" fontId="6" numFmtId="164" xfId="0" applyAlignment="1" applyBorder="1" applyFont="1" applyNumberFormat="1">
      <alignment shrinkToFit="0" vertical="bottom" wrapText="0"/>
    </xf>
    <xf borderId="5" fillId="0" fontId="2" numFmtId="164" xfId="0" applyAlignment="1" applyBorder="1" applyFont="1" applyNumberFormat="1">
      <alignment shrinkToFit="0" vertical="bottom" wrapText="0"/>
    </xf>
    <xf borderId="5" fillId="4" fontId="6" numFmtId="2" xfId="0" applyAlignment="1" applyBorder="1" applyFont="1" applyNumberFormat="1">
      <alignment shrinkToFit="0" vertical="bottom" wrapText="0"/>
    </xf>
    <xf borderId="5" fillId="0" fontId="2" numFmtId="165" xfId="0" applyAlignment="1" applyBorder="1" applyFont="1" applyNumberFormat="1">
      <alignment shrinkToFit="0" vertical="bottom" wrapText="0"/>
    </xf>
    <xf borderId="5" fillId="0" fontId="2" numFmtId="166" xfId="0" applyAlignment="1" applyBorder="1" applyFont="1" applyNumberFormat="1">
      <alignment shrinkToFit="0" vertical="bottom" wrapText="0"/>
    </xf>
    <xf borderId="5" fillId="0" fontId="2" numFmtId="2" xfId="0" applyAlignment="1" applyBorder="1" applyFont="1" applyNumberFormat="1">
      <alignment shrinkToFit="0" vertical="bottom" wrapText="0"/>
    </xf>
    <xf borderId="5" fillId="0" fontId="2" numFmtId="167" xfId="0" applyAlignment="1" applyBorder="1" applyFont="1" applyNumberFormat="1">
      <alignment shrinkToFit="0" vertical="bottom" wrapText="0"/>
    </xf>
    <xf borderId="5" fillId="0" fontId="2" numFmtId="1" xfId="0" applyAlignment="1" applyBorder="1" applyFont="1" applyNumberFormat="1">
      <alignment shrinkToFit="0" vertical="bottom" wrapText="0"/>
    </xf>
    <xf borderId="5" fillId="0" fontId="7" numFmtId="164" xfId="0" applyAlignment="1" applyBorder="1" applyFont="1" applyNumberFormat="1">
      <alignment shrinkToFit="0" vertical="bottom" wrapText="0"/>
    </xf>
    <xf borderId="2" fillId="3" fontId="3" numFmtId="0" xfId="0" applyAlignment="1" applyBorder="1" applyFont="1">
      <alignment shrinkToFit="0" vertical="bottom" wrapText="0"/>
    </xf>
    <xf borderId="5" fillId="0" fontId="8" numFmtId="168" xfId="0" applyAlignment="1" applyBorder="1" applyFont="1" applyNumberFormat="1">
      <alignment shrinkToFit="0" vertical="bottom" wrapText="0"/>
    </xf>
    <xf borderId="5" fillId="0" fontId="8" numFmtId="2" xfId="0" applyAlignment="1" applyBorder="1" applyFont="1" applyNumberFormat="1">
      <alignment shrinkToFit="0" vertical="bottom" wrapText="0"/>
    </xf>
    <xf borderId="5" fillId="0" fontId="8" numFmtId="166" xfId="0" applyAlignment="1" applyBorder="1" applyFont="1" applyNumberFormat="1">
      <alignment shrinkToFit="0" vertical="bottom" wrapText="0"/>
    </xf>
    <xf borderId="5" fillId="0" fontId="8" numFmtId="169" xfId="0" applyAlignment="1" applyBorder="1" applyFont="1" applyNumberFormat="1">
      <alignment shrinkToFit="0" vertical="bottom" wrapText="0"/>
    </xf>
    <xf borderId="5" fillId="0" fontId="8" numFmtId="1" xfId="0" applyAlignment="1" applyBorder="1" applyFont="1" applyNumberFormat="1">
      <alignment shrinkToFit="0" vertical="bottom" wrapText="0"/>
    </xf>
    <xf borderId="5" fillId="0" fontId="8" numFmtId="170" xfId="0" applyAlignment="1" applyBorder="1" applyFont="1" applyNumberFormat="1">
      <alignment shrinkToFit="0" vertical="bottom" wrapText="0"/>
    </xf>
    <xf borderId="5" fillId="0" fontId="8" numFmtId="164" xfId="0" applyAlignment="1" applyBorder="1" applyFont="1" applyNumberFormat="1">
      <alignment shrinkToFit="0" vertical="bottom" wrapText="0"/>
    </xf>
    <xf borderId="5" fillId="4" fontId="6" numFmtId="168" xfId="0" applyAlignment="1" applyBorder="1" applyFont="1" applyNumberFormat="1">
      <alignment shrinkToFit="0" vertical="bottom" wrapText="0"/>
    </xf>
    <xf borderId="2" fillId="4" fontId="9" numFmtId="0" xfId="0" applyAlignment="1" applyBorder="1" applyFont="1">
      <alignment shrinkToFit="0" vertical="top" wrapText="1"/>
    </xf>
    <xf borderId="2" fillId="2" fontId="1" numFmtId="0" xfId="0" applyAlignment="1" applyBorder="1" applyFont="1">
      <alignment shrinkToFit="0" vertical="bottom" wrapText="0"/>
    </xf>
    <xf borderId="5" fillId="5" fontId="5" numFmtId="0" xfId="0" applyAlignment="1" applyBorder="1" applyFont="1">
      <alignment horizontal="center" shrinkToFit="0" vertical="bottom" wrapText="0"/>
    </xf>
    <xf borderId="5" fillId="0" fontId="8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NTC-01: ln(R) vs 1/T  —  slope should equal B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A7EBB"/>
              </a:solidFill>
              <a:ln cmpd="sng">
                <a:solidFill>
                  <a:srgbClr val="4A7EBB"/>
                </a:solidFill>
              </a:ln>
            </c:spPr>
          </c:marker>
          <c:trendline>
            <c:name>Linear (data)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Thermistor_1!$E$8:$E$27</c:f>
            </c:numRef>
          </c:xVal>
          <c:yVal>
            <c:numRef>
              <c:f>Thermistor_1!$F$8:$F$27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4228206"/>
        <c:axId val="773411116"/>
      </c:scatterChart>
      <c:valAx>
        <c:axId val="20642282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1/T (1/K)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73411116"/>
      </c:valAx>
      <c:valAx>
        <c:axId val="7734111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ln(R / Ω)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64228206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NTC-02: ln(R) vs 1/T  —  slope should equal B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A7EBB"/>
              </a:solidFill>
              <a:ln cmpd="sng">
                <a:solidFill>
                  <a:srgbClr val="4A7EBB"/>
                </a:solidFill>
              </a:ln>
            </c:spPr>
          </c:marker>
          <c:trendline>
            <c:name>Linear (data)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Thermistor_2!$E$8:$E$27</c:f>
            </c:numRef>
          </c:xVal>
          <c:yVal>
            <c:numRef>
              <c:f>Thermistor_2!$F$8:$F$27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773822"/>
        <c:axId val="1115731181"/>
      </c:scatterChart>
      <c:valAx>
        <c:axId val="15657738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1/T (1/K)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15731181"/>
      </c:valAx>
      <c:valAx>
        <c:axId val="1115731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ln(R / Ω)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65773822"/>
      </c:valAx>
    </c:plotArea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0</xdr:colOff>
      <xdr:row>7</xdr:row>
      <xdr:rowOff>0</xdr:rowOff>
    </xdr:from>
    <xdr:ext cx="6743700" cy="4257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647700</xdr:colOff>
      <xdr:row>7</xdr:row>
      <xdr:rowOff>0</xdr:rowOff>
    </xdr:from>
    <xdr:ext cx="6743700" cy="42576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3.29"/>
    <col customWidth="1" min="2" max="15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79.5" customHeight="1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>
      <c r="A6" s="3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79.5" customHeight="1">
      <c r="A7" s="4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3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79.5" customHeight="1">
      <c r="A10" s="4" t="s">
        <v>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>
      <c r="A12" s="3" t="s">
        <v>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79.5" customHeight="1">
      <c r="A13" s="4" t="s">
        <v>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>
      <c r="A15" s="3" t="s">
        <v>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79.5" customHeight="1">
      <c r="A16" s="4" t="s">
        <v>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>
      <c r="A18" s="3" t="s">
        <v>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79.5" customHeight="1">
      <c r="A19" s="4" t="s">
        <v>12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24.0" customHeight="1">
      <c r="A1" s="1" t="s">
        <v>13</v>
      </c>
    </row>
    <row r="3">
      <c r="A3" s="5" t="s">
        <v>14</v>
      </c>
    </row>
    <row r="4" ht="94.5" customHeight="1">
      <c r="A4" s="4" t="s">
        <v>15</v>
      </c>
    </row>
    <row r="6">
      <c r="A6" s="5" t="s">
        <v>16</v>
      </c>
    </row>
    <row r="7" ht="94.5" customHeight="1">
      <c r="A7" s="4" t="s">
        <v>17</v>
      </c>
    </row>
    <row r="9">
      <c r="A9" s="5" t="s">
        <v>18</v>
      </c>
    </row>
    <row r="10" ht="94.5" customHeight="1">
      <c r="A10" s="4" t="s">
        <v>19</v>
      </c>
    </row>
    <row r="12">
      <c r="A12" s="5" t="s">
        <v>20</v>
      </c>
    </row>
    <row r="13" ht="94.5" customHeight="1">
      <c r="A13" s="4" t="s">
        <v>21</v>
      </c>
    </row>
    <row r="15">
      <c r="A15" s="5" t="s">
        <v>22</v>
      </c>
    </row>
    <row r="16" ht="94.5" customHeight="1">
      <c r="A16" s="4" t="s">
        <v>23</v>
      </c>
    </row>
    <row r="18">
      <c r="A18" s="5" t="s">
        <v>24</v>
      </c>
    </row>
    <row r="19" ht="94.5" customHeight="1">
      <c r="A19" s="4" t="s">
        <v>25</v>
      </c>
    </row>
    <row r="21" ht="15.75" customHeight="1">
      <c r="A21" s="5" t="s">
        <v>26</v>
      </c>
    </row>
    <row r="22" ht="94.5" customHeight="1">
      <c r="A22" s="4" t="s">
        <v>27</v>
      </c>
    </row>
    <row r="23" ht="15.75" customHeight="1"/>
    <row r="24" ht="15.75" customHeight="1">
      <c r="A24" s="5" t="s">
        <v>28</v>
      </c>
    </row>
    <row r="25" ht="94.5" customHeight="1">
      <c r="A25" s="4" t="s">
        <v>29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25.57"/>
    <col customWidth="1" min="2" max="3" width="13.0"/>
    <col customWidth="1" min="4" max="4" width="14.0"/>
    <col customWidth="1" min="5" max="5" width="13.0"/>
    <col customWidth="1" min="6" max="6" width="12.0"/>
    <col customWidth="1" min="7" max="9" width="13.0"/>
    <col customWidth="1" min="10" max="10" width="12.0"/>
    <col customWidth="1" min="11" max="11" width="14.0"/>
    <col customWidth="1" min="12" max="17" width="10.0"/>
  </cols>
  <sheetData>
    <row r="1" ht="21.75" customHeight="1">
      <c r="A1" s="6" t="s">
        <v>30</v>
      </c>
      <c r="B1" s="7"/>
      <c r="C1" s="7"/>
      <c r="D1" s="7"/>
      <c r="E1" s="7"/>
      <c r="F1" s="7"/>
      <c r="G1" s="7"/>
      <c r="H1" s="7"/>
      <c r="I1" s="8"/>
      <c r="J1" s="2"/>
      <c r="K1" s="2"/>
      <c r="L1" s="2"/>
      <c r="M1" s="2"/>
      <c r="N1" s="2"/>
      <c r="O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9" t="s">
        <v>31</v>
      </c>
      <c r="B3" s="10" t="s">
        <v>32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9" t="s">
        <v>33</v>
      </c>
      <c r="B4" s="11">
        <v>25.0</v>
      </c>
      <c r="C4" s="12" t="s">
        <v>34</v>
      </c>
      <c r="D4" s="13">
        <f>B4+273.15</f>
        <v>298.15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8.0" customHeight="1">
      <c r="A6" s="14" t="s">
        <v>35</v>
      </c>
      <c r="B6" s="7"/>
      <c r="C6" s="7"/>
      <c r="D6" s="7"/>
      <c r="E6" s="7"/>
      <c r="F6" s="7"/>
      <c r="G6" s="7"/>
      <c r="H6" s="7"/>
      <c r="I6" s="8"/>
      <c r="J6" s="2"/>
      <c r="K6" s="2"/>
      <c r="L6" s="2"/>
      <c r="M6" s="2"/>
      <c r="N6" s="2"/>
      <c r="O6" s="2"/>
    </row>
    <row r="7" ht="30.0" customHeight="1">
      <c r="A7" s="15" t="s">
        <v>36</v>
      </c>
      <c r="B7" s="15" t="s">
        <v>37</v>
      </c>
      <c r="C7" s="15" t="s">
        <v>38</v>
      </c>
      <c r="D7" s="15" t="s">
        <v>39</v>
      </c>
      <c r="E7" s="15" t="s">
        <v>40</v>
      </c>
      <c r="F7" s="15" t="s">
        <v>41</v>
      </c>
      <c r="G7" s="15" t="s">
        <v>42</v>
      </c>
      <c r="H7" s="15" t="s">
        <v>43</v>
      </c>
      <c r="I7" s="15" t="s">
        <v>44</v>
      </c>
      <c r="J7" s="15" t="s">
        <v>45</v>
      </c>
      <c r="K7" s="15" t="s">
        <v>46</v>
      </c>
      <c r="L7" s="16" t="s">
        <v>47</v>
      </c>
      <c r="M7" s="16" t="s">
        <v>48</v>
      </c>
      <c r="N7" s="16" t="s">
        <v>49</v>
      </c>
      <c r="O7" s="16" t="s">
        <v>50</v>
      </c>
      <c r="P7" s="16" t="s">
        <v>51</v>
      </c>
      <c r="Q7" s="16" t="s">
        <v>52</v>
      </c>
    </row>
    <row r="8">
      <c r="A8" s="17">
        <v>1.0</v>
      </c>
      <c r="B8" s="18">
        <v>0.5</v>
      </c>
      <c r="C8" s="19">
        <f t="shared" ref="C8:C27" si="1">IF(B8="","",B8+273.15)</f>
        <v>273.65</v>
      </c>
      <c r="D8" s="20">
        <v>308000.0</v>
      </c>
      <c r="E8" s="21">
        <f t="shared" ref="E8:E27" si="2">IF(C8="","",1/C8)</f>
        <v>0.003654302942</v>
      </c>
      <c r="F8" s="22">
        <f t="shared" ref="F8:F27" si="3">IF(D8="","",LN(D8))</f>
        <v>12.63785506</v>
      </c>
      <c r="G8" s="23">
        <f t="shared" ref="G8:G27" si="4">IF(OR(D8="",$B$30=""),"",$B$31*EXP($B$30*(E8-1/$D$4)))</f>
        <v>316028.6875</v>
      </c>
      <c r="H8" s="19">
        <f t="shared" ref="H8:H27" si="5">IF(OR(D8="",G8=""),"",(G8-D8)/D8*100)</f>
        <v>2.606716713</v>
      </c>
      <c r="I8" s="24">
        <f t="shared" ref="I8:I27" si="6">IF(F8="","",F8^3)</f>
        <v>2018.459831</v>
      </c>
      <c r="J8" s="22">
        <f t="shared" ref="J8:J27" si="7">IF(F8="","",F8)</f>
        <v>12.63785506</v>
      </c>
      <c r="K8" s="24">
        <f t="shared" ref="K8:K27" si="8">IF(F8="","",F8^3)</f>
        <v>2018.459831</v>
      </c>
      <c r="L8" s="25">
        <f t="shared" ref="L8:L27" si="9">IF(AND(ISNUMBER(B8),ISNUMBER(D8),B8&gt;=$B$47,B8&lt;=$B$48),1,0)</f>
        <v>0</v>
      </c>
      <c r="M8" s="25">
        <f t="shared" ref="M8:M27" si="10">IF(AND(ISNUMBER(B8),ISNUMBER(D8),B8&gt;=$B$49,B8&lt;=$B$50),1,0)</f>
        <v>0</v>
      </c>
      <c r="N8" s="21">
        <f t="shared" ref="N8:N27" si="11">IF(L8=1, 1/(B8+273.15), 0)</f>
        <v>0</v>
      </c>
      <c r="O8" s="22">
        <f t="shared" ref="O8:O27" si="12">IF(L8=1, LN(D8), 0)</f>
        <v>0</v>
      </c>
      <c r="P8" s="26">
        <f t="shared" ref="P8:P27" si="13">IF(ISNUMBER(D8),$B$53/(LN(D8)-$B$54)-273.15,"")</f>
        <v>0.9032746111</v>
      </c>
      <c r="Q8" s="26" t="str">
        <f t="shared" ref="Q8:Q27" si="14">IF(AND(M8=1,ISNUMBER(P8),ISNUMBER(B8)),P8-B8,"")</f>
        <v/>
      </c>
    </row>
    <row r="9">
      <c r="A9" s="17">
        <v>2.0</v>
      </c>
      <c r="B9" s="18">
        <v>1.7</v>
      </c>
      <c r="C9" s="19">
        <f t="shared" si="1"/>
        <v>274.85</v>
      </c>
      <c r="D9" s="20">
        <v>293000.0</v>
      </c>
      <c r="E9" s="21">
        <f t="shared" si="2"/>
        <v>0.00363834819</v>
      </c>
      <c r="F9" s="22">
        <f t="shared" si="3"/>
        <v>12.58792789</v>
      </c>
      <c r="G9" s="23">
        <f t="shared" si="4"/>
        <v>297091.6081</v>
      </c>
      <c r="H9" s="19">
        <f t="shared" si="5"/>
        <v>1.396453285</v>
      </c>
      <c r="I9" s="24">
        <f t="shared" si="6"/>
        <v>1994.631802</v>
      </c>
      <c r="J9" s="22">
        <f t="shared" si="7"/>
        <v>12.58792789</v>
      </c>
      <c r="K9" s="24">
        <f t="shared" si="8"/>
        <v>1994.631802</v>
      </c>
      <c r="L9" s="25">
        <f t="shared" si="9"/>
        <v>0</v>
      </c>
      <c r="M9" s="25">
        <f t="shared" si="10"/>
        <v>0</v>
      </c>
      <c r="N9" s="21">
        <f t="shared" si="11"/>
        <v>0</v>
      </c>
      <c r="O9" s="22">
        <f t="shared" si="12"/>
        <v>0</v>
      </c>
      <c r="P9" s="26">
        <f t="shared" si="13"/>
        <v>1.8893138</v>
      </c>
      <c r="Q9" s="26" t="str">
        <f t="shared" si="14"/>
        <v/>
      </c>
    </row>
    <row r="10">
      <c r="A10" s="17">
        <v>3.0</v>
      </c>
      <c r="B10" s="18">
        <v>4.6</v>
      </c>
      <c r="C10" s="19">
        <f t="shared" si="1"/>
        <v>277.75</v>
      </c>
      <c r="D10" s="20">
        <v>250000.0</v>
      </c>
      <c r="E10" s="21">
        <f t="shared" si="2"/>
        <v>0.003600360036</v>
      </c>
      <c r="F10" s="22">
        <f t="shared" si="3"/>
        <v>12.4292162</v>
      </c>
      <c r="G10" s="23">
        <f t="shared" si="4"/>
        <v>256444.7197</v>
      </c>
      <c r="H10" s="19">
        <f t="shared" si="5"/>
        <v>2.57788787</v>
      </c>
      <c r="I10" s="24">
        <f t="shared" si="6"/>
        <v>1920.132626</v>
      </c>
      <c r="J10" s="22">
        <f t="shared" si="7"/>
        <v>12.4292162</v>
      </c>
      <c r="K10" s="24">
        <f t="shared" si="8"/>
        <v>1920.132626</v>
      </c>
      <c r="L10" s="25">
        <f t="shared" si="9"/>
        <v>0</v>
      </c>
      <c r="M10" s="25">
        <f t="shared" si="10"/>
        <v>0</v>
      </c>
      <c r="N10" s="21">
        <f t="shared" si="11"/>
        <v>0</v>
      </c>
      <c r="O10" s="22">
        <f t="shared" si="12"/>
        <v>0</v>
      </c>
      <c r="P10" s="26">
        <f t="shared" si="13"/>
        <v>5.071471945</v>
      </c>
      <c r="Q10" s="26" t="str">
        <f t="shared" si="14"/>
        <v/>
      </c>
    </row>
    <row r="11">
      <c r="A11" s="17">
        <v>4.0</v>
      </c>
      <c r="B11" s="18">
        <v>9.0</v>
      </c>
      <c r="C11" s="19">
        <f t="shared" si="1"/>
        <v>282.15</v>
      </c>
      <c r="D11" s="20">
        <v>203000.0</v>
      </c>
      <c r="E11" s="21">
        <f t="shared" si="2"/>
        <v>0.003544214071</v>
      </c>
      <c r="F11" s="22">
        <f t="shared" si="3"/>
        <v>12.22096126</v>
      </c>
      <c r="G11" s="23">
        <f t="shared" si="4"/>
        <v>206326.7021</v>
      </c>
      <c r="H11" s="19">
        <f t="shared" si="5"/>
        <v>1.638769507</v>
      </c>
      <c r="I11" s="24">
        <f t="shared" si="6"/>
        <v>1825.223711</v>
      </c>
      <c r="J11" s="22">
        <f t="shared" si="7"/>
        <v>12.22096126</v>
      </c>
      <c r="K11" s="24">
        <f t="shared" si="8"/>
        <v>1825.223711</v>
      </c>
      <c r="L11" s="25">
        <f t="shared" si="9"/>
        <v>1</v>
      </c>
      <c r="M11" s="25">
        <f t="shared" si="10"/>
        <v>0</v>
      </c>
      <c r="N11" s="21">
        <f t="shared" si="11"/>
        <v>0.003544214071</v>
      </c>
      <c r="O11" s="22">
        <f t="shared" si="12"/>
        <v>12.22096126</v>
      </c>
      <c r="P11" s="26">
        <f t="shared" si="13"/>
        <v>9.360390499</v>
      </c>
      <c r="Q11" s="26" t="str">
        <f t="shared" si="14"/>
        <v/>
      </c>
    </row>
    <row r="12">
      <c r="A12" s="17">
        <v>5.0</v>
      </c>
      <c r="B12" s="18">
        <v>11.9</v>
      </c>
      <c r="C12" s="19">
        <f t="shared" si="1"/>
        <v>285.05</v>
      </c>
      <c r="D12" s="20">
        <v>181000.0</v>
      </c>
      <c r="E12" s="21">
        <f t="shared" si="2"/>
        <v>0.003508156464</v>
      </c>
      <c r="F12" s="22">
        <f t="shared" si="3"/>
        <v>12.10625231</v>
      </c>
      <c r="G12" s="23">
        <f t="shared" si="4"/>
        <v>179434.5299</v>
      </c>
      <c r="H12" s="19">
        <f t="shared" si="5"/>
        <v>-0.8649005827</v>
      </c>
      <c r="I12" s="24">
        <f t="shared" si="6"/>
        <v>1774.308621</v>
      </c>
      <c r="J12" s="22">
        <f t="shared" si="7"/>
        <v>12.10625231</v>
      </c>
      <c r="K12" s="24">
        <f t="shared" si="8"/>
        <v>1774.308621</v>
      </c>
      <c r="L12" s="25">
        <f t="shared" si="9"/>
        <v>1</v>
      </c>
      <c r="M12" s="25">
        <f t="shared" si="10"/>
        <v>1</v>
      </c>
      <c r="N12" s="21">
        <f t="shared" si="11"/>
        <v>0.003508156464</v>
      </c>
      <c r="O12" s="22">
        <f t="shared" si="12"/>
        <v>12.10625231</v>
      </c>
      <c r="P12" s="26">
        <f t="shared" si="13"/>
        <v>11.77973052</v>
      </c>
      <c r="Q12" s="26">
        <f t="shared" si="14"/>
        <v>-0.1202694841</v>
      </c>
    </row>
    <row r="13">
      <c r="A13" s="17">
        <v>6.0</v>
      </c>
      <c r="B13" s="18">
        <v>14.5</v>
      </c>
      <c r="C13" s="19">
        <f t="shared" si="1"/>
        <v>287.65</v>
      </c>
      <c r="D13" s="20">
        <v>160000.0</v>
      </c>
      <c r="E13" s="21">
        <f t="shared" si="2"/>
        <v>0.003476447071</v>
      </c>
      <c r="F13" s="22">
        <f t="shared" si="3"/>
        <v>11.98292909</v>
      </c>
      <c r="G13" s="23">
        <f t="shared" si="4"/>
        <v>158697.6022</v>
      </c>
      <c r="H13" s="19">
        <f t="shared" si="5"/>
        <v>-0.8139986189</v>
      </c>
      <c r="I13" s="24">
        <f t="shared" si="6"/>
        <v>1720.635855</v>
      </c>
      <c r="J13" s="22">
        <f t="shared" si="7"/>
        <v>11.98292909</v>
      </c>
      <c r="K13" s="24">
        <f t="shared" si="8"/>
        <v>1720.635855</v>
      </c>
      <c r="L13" s="25">
        <f t="shared" si="9"/>
        <v>1</v>
      </c>
      <c r="M13" s="25">
        <f t="shared" si="10"/>
        <v>1</v>
      </c>
      <c r="N13" s="21">
        <f t="shared" si="11"/>
        <v>0.003476447071</v>
      </c>
      <c r="O13" s="22">
        <f t="shared" si="12"/>
        <v>11.98292909</v>
      </c>
      <c r="P13" s="26">
        <f t="shared" si="13"/>
        <v>14.42740623</v>
      </c>
      <c r="Q13" s="26">
        <f t="shared" si="14"/>
        <v>-0.07259377211</v>
      </c>
    </row>
    <row r="14">
      <c r="A14" s="17">
        <v>7.0</v>
      </c>
      <c r="B14" s="18">
        <v>18.4</v>
      </c>
      <c r="C14" s="19">
        <f t="shared" si="1"/>
        <v>291.55</v>
      </c>
      <c r="D14" s="20">
        <v>134800.0</v>
      </c>
      <c r="E14" s="21">
        <f t="shared" si="2"/>
        <v>0.003429943406</v>
      </c>
      <c r="F14" s="22">
        <f t="shared" si="3"/>
        <v>11.81154748</v>
      </c>
      <c r="G14" s="23">
        <f t="shared" si="4"/>
        <v>132541.0872</v>
      </c>
      <c r="H14" s="19">
        <f t="shared" si="5"/>
        <v>-1.67575133</v>
      </c>
      <c r="I14" s="24">
        <f t="shared" si="6"/>
        <v>1647.860334</v>
      </c>
      <c r="J14" s="22">
        <f t="shared" si="7"/>
        <v>11.81154748</v>
      </c>
      <c r="K14" s="24">
        <f t="shared" si="8"/>
        <v>1647.860334</v>
      </c>
      <c r="L14" s="25">
        <f t="shared" si="9"/>
        <v>1</v>
      </c>
      <c r="M14" s="25">
        <f t="shared" si="10"/>
        <v>1</v>
      </c>
      <c r="N14" s="21">
        <f t="shared" si="11"/>
        <v>0.003429943406</v>
      </c>
      <c r="O14" s="22">
        <f t="shared" si="12"/>
        <v>11.81154748</v>
      </c>
      <c r="P14" s="26">
        <f t="shared" si="13"/>
        <v>18.18964193</v>
      </c>
      <c r="Q14" s="26">
        <f t="shared" si="14"/>
        <v>-0.210358073</v>
      </c>
    </row>
    <row r="15">
      <c r="A15" s="17">
        <v>8.0</v>
      </c>
      <c r="B15" s="18">
        <v>21.6</v>
      </c>
      <c r="C15" s="19">
        <f t="shared" si="1"/>
        <v>294.75</v>
      </c>
      <c r="D15" s="20">
        <v>116480.0</v>
      </c>
      <c r="E15" s="21">
        <f t="shared" si="2"/>
        <v>0.003392705683</v>
      </c>
      <c r="F15" s="22">
        <f t="shared" si="3"/>
        <v>11.66547486</v>
      </c>
      <c r="G15" s="23">
        <f t="shared" si="4"/>
        <v>114740.3422</v>
      </c>
      <c r="H15" s="19">
        <f t="shared" si="5"/>
        <v>-1.493524922</v>
      </c>
      <c r="I15" s="24">
        <f t="shared" si="6"/>
        <v>1587.47636</v>
      </c>
      <c r="J15" s="22">
        <f t="shared" si="7"/>
        <v>11.66547486</v>
      </c>
      <c r="K15" s="24">
        <f t="shared" si="8"/>
        <v>1587.47636</v>
      </c>
      <c r="L15" s="25">
        <f t="shared" si="9"/>
        <v>1</v>
      </c>
      <c r="M15" s="25">
        <f t="shared" si="10"/>
        <v>1</v>
      </c>
      <c r="N15" s="21">
        <f t="shared" si="11"/>
        <v>0.003392705683</v>
      </c>
      <c r="O15" s="22">
        <f t="shared" si="12"/>
        <v>11.66547486</v>
      </c>
      <c r="P15" s="26">
        <f t="shared" si="13"/>
        <v>21.47486757</v>
      </c>
      <c r="Q15" s="26">
        <f t="shared" si="14"/>
        <v>-0.1251324324</v>
      </c>
    </row>
    <row r="16">
      <c r="A16" s="17">
        <v>9.0</v>
      </c>
      <c r="B16" s="18">
        <v>25.5</v>
      </c>
      <c r="C16" s="19">
        <f t="shared" si="1"/>
        <v>298.65</v>
      </c>
      <c r="D16" s="20">
        <v>97540.0</v>
      </c>
      <c r="E16" s="21">
        <f t="shared" si="2"/>
        <v>0.003348401138</v>
      </c>
      <c r="F16" s="22">
        <f t="shared" si="3"/>
        <v>11.48801783</v>
      </c>
      <c r="G16" s="23">
        <f t="shared" si="4"/>
        <v>96648.531</v>
      </c>
      <c r="H16" s="19">
        <f t="shared" si="5"/>
        <v>-0.9139522252</v>
      </c>
      <c r="I16" s="24">
        <f t="shared" si="6"/>
        <v>1516.126025</v>
      </c>
      <c r="J16" s="22">
        <f t="shared" si="7"/>
        <v>11.48801783</v>
      </c>
      <c r="K16" s="24">
        <f t="shared" si="8"/>
        <v>1516.126025</v>
      </c>
      <c r="L16" s="25">
        <f t="shared" si="9"/>
        <v>1</v>
      </c>
      <c r="M16" s="25">
        <f t="shared" si="10"/>
        <v>1</v>
      </c>
      <c r="N16" s="21">
        <f t="shared" si="11"/>
        <v>0.003348401138</v>
      </c>
      <c r="O16" s="22">
        <f t="shared" si="12"/>
        <v>11.48801783</v>
      </c>
      <c r="P16" s="26">
        <f t="shared" si="13"/>
        <v>25.56700285</v>
      </c>
      <c r="Q16" s="26">
        <f t="shared" si="14"/>
        <v>0.06700284824</v>
      </c>
    </row>
    <row r="17">
      <c r="A17" s="17">
        <v>10.0</v>
      </c>
      <c r="B17" s="18">
        <v>28.2</v>
      </c>
      <c r="C17" s="19">
        <f t="shared" si="1"/>
        <v>301.35</v>
      </c>
      <c r="D17" s="20">
        <v>87400.0</v>
      </c>
      <c r="E17" s="21">
        <f t="shared" si="2"/>
        <v>0.003318400531</v>
      </c>
      <c r="F17" s="22">
        <f t="shared" si="3"/>
        <v>11.37825056</v>
      </c>
      <c r="G17" s="23">
        <f t="shared" si="4"/>
        <v>86046.61741</v>
      </c>
      <c r="H17" s="19">
        <f t="shared" si="5"/>
        <v>-1.54849267</v>
      </c>
      <c r="I17" s="24">
        <f t="shared" si="6"/>
        <v>1473.080497</v>
      </c>
      <c r="J17" s="22">
        <f t="shared" si="7"/>
        <v>11.37825056</v>
      </c>
      <c r="K17" s="24">
        <f t="shared" si="8"/>
        <v>1473.080497</v>
      </c>
      <c r="L17" s="25">
        <f t="shared" si="9"/>
        <v>1</v>
      </c>
      <c r="M17" s="25">
        <f t="shared" si="10"/>
        <v>1</v>
      </c>
      <c r="N17" s="21">
        <f t="shared" si="11"/>
        <v>0.003318400531</v>
      </c>
      <c r="O17" s="22">
        <f t="shared" si="12"/>
        <v>11.37825056</v>
      </c>
      <c r="P17" s="26">
        <f t="shared" si="13"/>
        <v>28.15561774</v>
      </c>
      <c r="Q17" s="26">
        <f t="shared" si="14"/>
        <v>-0.04438225569</v>
      </c>
    </row>
    <row r="18">
      <c r="A18" s="17">
        <v>11.0</v>
      </c>
      <c r="B18" s="18">
        <v>31.2</v>
      </c>
      <c r="C18" s="19">
        <f t="shared" si="1"/>
        <v>304.35</v>
      </c>
      <c r="D18" s="20">
        <v>77200.0</v>
      </c>
      <c r="E18" s="21">
        <f t="shared" si="2"/>
        <v>0.003285690816</v>
      </c>
      <c r="F18" s="22">
        <f t="shared" si="3"/>
        <v>11.25415474</v>
      </c>
      <c r="G18" s="23">
        <f t="shared" si="4"/>
        <v>75808.09624</v>
      </c>
      <c r="H18" s="19">
        <f t="shared" si="5"/>
        <v>-1.80298415</v>
      </c>
      <c r="I18" s="24">
        <f t="shared" si="6"/>
        <v>1425.406209</v>
      </c>
      <c r="J18" s="22">
        <f t="shared" si="7"/>
        <v>11.25415474</v>
      </c>
      <c r="K18" s="24">
        <f t="shared" si="8"/>
        <v>1425.406209</v>
      </c>
      <c r="L18" s="25">
        <f t="shared" si="9"/>
        <v>1</v>
      </c>
      <c r="M18" s="25">
        <f t="shared" si="10"/>
        <v>0</v>
      </c>
      <c r="N18" s="21">
        <f t="shared" si="11"/>
        <v>0.003285690816</v>
      </c>
      <c r="O18" s="22">
        <f t="shared" si="12"/>
        <v>11.25415474</v>
      </c>
      <c r="P18" s="26">
        <f t="shared" si="13"/>
        <v>31.13670577</v>
      </c>
      <c r="Q18" s="26" t="str">
        <f t="shared" si="14"/>
        <v/>
      </c>
    </row>
    <row r="19">
      <c r="A19" s="17">
        <v>12.0</v>
      </c>
      <c r="B19" s="18">
        <v>35.4</v>
      </c>
      <c r="C19" s="19">
        <f t="shared" si="1"/>
        <v>308.55</v>
      </c>
      <c r="D19" s="20">
        <v>65080.0</v>
      </c>
      <c r="E19" s="21">
        <f t="shared" si="2"/>
        <v>0.003240965808</v>
      </c>
      <c r="F19" s="22">
        <f t="shared" si="3"/>
        <v>11.08337256</v>
      </c>
      <c r="G19" s="23">
        <f t="shared" si="4"/>
        <v>63751.07023</v>
      </c>
      <c r="H19" s="19">
        <f t="shared" si="5"/>
        <v>-2.04199411</v>
      </c>
      <c r="I19" s="24">
        <f t="shared" si="6"/>
        <v>1361.494202</v>
      </c>
      <c r="J19" s="22">
        <f t="shared" si="7"/>
        <v>11.08337256</v>
      </c>
      <c r="K19" s="24">
        <f t="shared" si="8"/>
        <v>1361.494202</v>
      </c>
      <c r="L19" s="25">
        <f t="shared" si="9"/>
        <v>1</v>
      </c>
      <c r="M19" s="25">
        <f t="shared" si="10"/>
        <v>0</v>
      </c>
      <c r="N19" s="21">
        <f t="shared" si="11"/>
        <v>0.003240965808</v>
      </c>
      <c r="O19" s="22">
        <f t="shared" si="12"/>
        <v>11.08337256</v>
      </c>
      <c r="P19" s="26">
        <f t="shared" si="13"/>
        <v>35.33709895</v>
      </c>
      <c r="Q19" s="26" t="str">
        <f t="shared" si="14"/>
        <v/>
      </c>
    </row>
    <row r="20">
      <c r="A20" s="17">
        <v>13.0</v>
      </c>
      <c r="B20" s="18">
        <v>38.6</v>
      </c>
      <c r="C20" s="19">
        <f t="shared" si="1"/>
        <v>311.75</v>
      </c>
      <c r="D20" s="20">
        <v>56560.0</v>
      </c>
      <c r="E20" s="21">
        <f t="shared" si="2"/>
        <v>0.003207698476</v>
      </c>
      <c r="F20" s="22">
        <f t="shared" si="3"/>
        <v>10.9430573</v>
      </c>
      <c r="G20" s="23">
        <f t="shared" si="4"/>
        <v>56044.28696</v>
      </c>
      <c r="H20" s="19">
        <f t="shared" si="5"/>
        <v>-0.9117981632</v>
      </c>
      <c r="I20" s="24">
        <f t="shared" si="6"/>
        <v>1310.436617</v>
      </c>
      <c r="J20" s="22">
        <f t="shared" si="7"/>
        <v>10.9430573</v>
      </c>
      <c r="K20" s="24">
        <f t="shared" si="8"/>
        <v>1310.436617</v>
      </c>
      <c r="L20" s="25">
        <f t="shared" si="9"/>
        <v>1</v>
      </c>
      <c r="M20" s="25">
        <f t="shared" si="10"/>
        <v>0</v>
      </c>
      <c r="N20" s="21">
        <f t="shared" si="11"/>
        <v>0.003207698476</v>
      </c>
      <c r="O20" s="22">
        <f t="shared" si="12"/>
        <v>10.9430573</v>
      </c>
      <c r="P20" s="26">
        <f t="shared" si="13"/>
        <v>38.87593158</v>
      </c>
      <c r="Q20" s="26" t="str">
        <f t="shared" si="14"/>
        <v/>
      </c>
    </row>
    <row r="21" ht="15.75" customHeight="1">
      <c r="A21" s="17">
        <v>14.0</v>
      </c>
      <c r="B21" s="18">
        <v>42.2</v>
      </c>
      <c r="C21" s="19">
        <f t="shared" si="1"/>
        <v>315.35</v>
      </c>
      <c r="D21" s="20">
        <v>49300.0</v>
      </c>
      <c r="E21" s="21">
        <f t="shared" si="2"/>
        <v>0.003171079753</v>
      </c>
      <c r="F21" s="22">
        <f t="shared" si="3"/>
        <v>10.80567936</v>
      </c>
      <c r="G21" s="23">
        <f t="shared" si="4"/>
        <v>48633.79122</v>
      </c>
      <c r="H21" s="19">
        <f t="shared" si="5"/>
        <v>-1.351336261</v>
      </c>
      <c r="I21" s="24">
        <f t="shared" si="6"/>
        <v>1261.700367</v>
      </c>
      <c r="J21" s="22">
        <f t="shared" si="7"/>
        <v>10.80567936</v>
      </c>
      <c r="K21" s="24">
        <f t="shared" si="8"/>
        <v>1261.700367</v>
      </c>
      <c r="L21" s="25">
        <f t="shared" si="9"/>
        <v>0</v>
      </c>
      <c r="M21" s="25">
        <f t="shared" si="10"/>
        <v>0</v>
      </c>
      <c r="N21" s="21">
        <f t="shared" si="11"/>
        <v>0</v>
      </c>
      <c r="O21" s="22">
        <f t="shared" si="12"/>
        <v>0</v>
      </c>
      <c r="P21" s="26">
        <f t="shared" si="13"/>
        <v>42.42023706</v>
      </c>
      <c r="Q21" s="26" t="str">
        <f t="shared" si="14"/>
        <v/>
      </c>
    </row>
    <row r="22" ht="15.75" customHeight="1">
      <c r="A22" s="17">
        <v>15.0</v>
      </c>
      <c r="B22" s="18">
        <v>45.5</v>
      </c>
      <c r="C22" s="19">
        <f t="shared" si="1"/>
        <v>318.65</v>
      </c>
      <c r="D22" s="20">
        <v>43000.0</v>
      </c>
      <c r="E22" s="21">
        <f t="shared" si="2"/>
        <v>0.003138239448</v>
      </c>
      <c r="F22" s="22">
        <f t="shared" si="3"/>
        <v>10.66895539</v>
      </c>
      <c r="G22" s="23">
        <f t="shared" si="4"/>
        <v>42825.28471</v>
      </c>
      <c r="H22" s="19">
        <f t="shared" si="5"/>
        <v>-0.406314625</v>
      </c>
      <c r="I22" s="24">
        <f t="shared" si="6"/>
        <v>1214.411016</v>
      </c>
      <c r="J22" s="22">
        <f t="shared" si="7"/>
        <v>10.66895539</v>
      </c>
      <c r="K22" s="24">
        <f t="shared" si="8"/>
        <v>1214.411016</v>
      </c>
      <c r="L22" s="25">
        <f t="shared" si="9"/>
        <v>0</v>
      </c>
      <c r="M22" s="25">
        <f t="shared" si="10"/>
        <v>0</v>
      </c>
      <c r="N22" s="21">
        <f t="shared" si="11"/>
        <v>0</v>
      </c>
      <c r="O22" s="22">
        <f t="shared" si="12"/>
        <v>0</v>
      </c>
      <c r="P22" s="26">
        <f t="shared" si="13"/>
        <v>46.02852986</v>
      </c>
      <c r="Q22" s="26" t="str">
        <f t="shared" si="14"/>
        <v/>
      </c>
    </row>
    <row r="23" ht="15.75" customHeight="1">
      <c r="A23" s="17">
        <v>16.0</v>
      </c>
      <c r="B23" s="18">
        <v>50.0</v>
      </c>
      <c r="C23" s="19">
        <f t="shared" si="1"/>
        <v>323.15</v>
      </c>
      <c r="D23" s="20">
        <v>36120.0</v>
      </c>
      <c r="E23" s="21">
        <f t="shared" si="2"/>
        <v>0.00309453814</v>
      </c>
      <c r="F23" s="22">
        <f t="shared" si="3"/>
        <v>10.49460201</v>
      </c>
      <c r="G23" s="23">
        <f t="shared" si="4"/>
        <v>36157.13649</v>
      </c>
      <c r="H23" s="19">
        <f t="shared" si="5"/>
        <v>0.1028142151</v>
      </c>
      <c r="I23" s="24">
        <f t="shared" si="6"/>
        <v>1155.840532</v>
      </c>
      <c r="J23" s="22">
        <f t="shared" si="7"/>
        <v>10.49460201</v>
      </c>
      <c r="K23" s="24">
        <f t="shared" si="8"/>
        <v>1155.840532</v>
      </c>
      <c r="L23" s="25">
        <f t="shared" si="9"/>
        <v>0</v>
      </c>
      <c r="M23" s="25">
        <f t="shared" si="10"/>
        <v>0</v>
      </c>
      <c r="N23" s="21">
        <f t="shared" si="11"/>
        <v>0</v>
      </c>
      <c r="O23" s="22">
        <f t="shared" si="12"/>
        <v>0</v>
      </c>
      <c r="P23" s="26">
        <f t="shared" si="13"/>
        <v>50.75138123</v>
      </c>
      <c r="Q23" s="26" t="str">
        <f t="shared" si="14"/>
        <v/>
      </c>
    </row>
    <row r="24" ht="15.75" customHeight="1">
      <c r="A24" s="17">
        <v>17.0</v>
      </c>
      <c r="B24" s="18">
        <v>52.6</v>
      </c>
      <c r="C24" s="19">
        <f t="shared" si="1"/>
        <v>325.75</v>
      </c>
      <c r="D24" s="20">
        <v>32800.0</v>
      </c>
      <c r="E24" s="21">
        <f t="shared" si="2"/>
        <v>0.003069838833</v>
      </c>
      <c r="F24" s="22">
        <f t="shared" si="3"/>
        <v>10.39818379</v>
      </c>
      <c r="G24" s="23">
        <f t="shared" si="4"/>
        <v>32858.62895</v>
      </c>
      <c r="H24" s="19">
        <f t="shared" si="5"/>
        <v>0.1787467873</v>
      </c>
      <c r="I24" s="24">
        <f t="shared" si="6"/>
        <v>1124.274781</v>
      </c>
      <c r="J24" s="22">
        <f t="shared" si="7"/>
        <v>10.39818379</v>
      </c>
      <c r="K24" s="24">
        <f t="shared" si="8"/>
        <v>1124.274781</v>
      </c>
      <c r="L24" s="25">
        <f t="shared" si="9"/>
        <v>0</v>
      </c>
      <c r="M24" s="25">
        <f t="shared" si="10"/>
        <v>0</v>
      </c>
      <c r="N24" s="21">
        <f t="shared" si="11"/>
        <v>0</v>
      </c>
      <c r="O24" s="22">
        <f t="shared" si="12"/>
        <v>0</v>
      </c>
      <c r="P24" s="26">
        <f t="shared" si="13"/>
        <v>53.42365188</v>
      </c>
      <c r="Q24" s="26" t="str">
        <f t="shared" si="14"/>
        <v/>
      </c>
    </row>
    <row r="25" ht="15.75" customHeight="1">
      <c r="A25" s="17">
        <v>18.0</v>
      </c>
      <c r="B25" s="18">
        <v>60.0</v>
      </c>
      <c r="C25" s="19">
        <f t="shared" si="1"/>
        <v>333.15</v>
      </c>
      <c r="D25" s="20">
        <v>24890.0</v>
      </c>
      <c r="E25" s="21">
        <f t="shared" si="2"/>
        <v>0.003001650908</v>
      </c>
      <c r="F25" s="22">
        <f t="shared" si="3"/>
        <v>10.1222214</v>
      </c>
      <c r="G25" s="23">
        <f t="shared" si="4"/>
        <v>25232.27231</v>
      </c>
      <c r="H25" s="19">
        <f t="shared" si="5"/>
        <v>1.375139855</v>
      </c>
      <c r="I25" s="24">
        <f t="shared" si="6"/>
        <v>1037.116386</v>
      </c>
      <c r="J25" s="22">
        <f t="shared" si="7"/>
        <v>10.1222214</v>
      </c>
      <c r="K25" s="24">
        <f t="shared" si="8"/>
        <v>1037.116386</v>
      </c>
      <c r="L25" s="25">
        <f t="shared" si="9"/>
        <v>0</v>
      </c>
      <c r="M25" s="25">
        <f t="shared" si="10"/>
        <v>0</v>
      </c>
      <c r="N25" s="21">
        <f t="shared" si="11"/>
        <v>0</v>
      </c>
      <c r="O25" s="22">
        <f t="shared" si="12"/>
        <v>0</v>
      </c>
      <c r="P25" s="26">
        <f t="shared" si="13"/>
        <v>61.32166418</v>
      </c>
      <c r="Q25" s="26" t="str">
        <f t="shared" si="14"/>
        <v/>
      </c>
    </row>
    <row r="26" ht="15.75" customHeight="1">
      <c r="A26" s="17">
        <v>19.0</v>
      </c>
      <c r="B26" s="18">
        <v>68.0</v>
      </c>
      <c r="C26" s="19">
        <f t="shared" si="1"/>
        <v>341.15</v>
      </c>
      <c r="D26" s="20">
        <v>19400.0</v>
      </c>
      <c r="E26" s="21">
        <f t="shared" si="2"/>
        <v>0.002931261908</v>
      </c>
      <c r="F26" s="22">
        <f t="shared" si="3"/>
        <v>9.873028345</v>
      </c>
      <c r="G26" s="23">
        <f t="shared" si="4"/>
        <v>19211.49</v>
      </c>
      <c r="H26" s="19">
        <f t="shared" si="5"/>
        <v>-0.9717010397</v>
      </c>
      <c r="I26" s="24">
        <f t="shared" si="6"/>
        <v>962.3901105</v>
      </c>
      <c r="J26" s="22">
        <f t="shared" si="7"/>
        <v>9.873028345</v>
      </c>
      <c r="K26" s="24">
        <f t="shared" si="8"/>
        <v>962.3901105</v>
      </c>
      <c r="L26" s="25">
        <f t="shared" si="9"/>
        <v>0</v>
      </c>
      <c r="M26" s="25">
        <f t="shared" si="10"/>
        <v>0</v>
      </c>
      <c r="N26" s="21">
        <f t="shared" si="11"/>
        <v>0</v>
      </c>
      <c r="O26" s="22">
        <f t="shared" si="12"/>
        <v>0</v>
      </c>
      <c r="P26" s="26">
        <f t="shared" si="13"/>
        <v>68.789099</v>
      </c>
      <c r="Q26" s="26" t="str">
        <f t="shared" si="14"/>
        <v/>
      </c>
    </row>
    <row r="27" ht="15.75" customHeight="1">
      <c r="A27" s="17">
        <v>20.0</v>
      </c>
      <c r="B27" s="18">
        <v>74.0</v>
      </c>
      <c r="C27" s="19">
        <f t="shared" si="1"/>
        <v>347.15</v>
      </c>
      <c r="D27" s="20">
        <v>15000.0</v>
      </c>
      <c r="E27" s="21">
        <f t="shared" si="2"/>
        <v>0.002880599165</v>
      </c>
      <c r="F27" s="22">
        <f t="shared" si="3"/>
        <v>9.61580548</v>
      </c>
      <c r="G27" s="23">
        <f t="shared" si="4"/>
        <v>15788.67128</v>
      </c>
      <c r="H27" s="19">
        <f t="shared" si="5"/>
        <v>5.25780851</v>
      </c>
      <c r="I27" s="24">
        <f t="shared" si="6"/>
        <v>889.1130977</v>
      </c>
      <c r="J27" s="22">
        <f t="shared" si="7"/>
        <v>9.61580548</v>
      </c>
      <c r="K27" s="24">
        <f t="shared" si="8"/>
        <v>889.1130977</v>
      </c>
      <c r="L27" s="25">
        <f t="shared" si="9"/>
        <v>0</v>
      </c>
      <c r="M27" s="25">
        <f t="shared" si="10"/>
        <v>0</v>
      </c>
      <c r="N27" s="21">
        <f t="shared" si="11"/>
        <v>0</v>
      </c>
      <c r="O27" s="22">
        <f t="shared" si="12"/>
        <v>0</v>
      </c>
      <c r="P27" s="26">
        <f t="shared" si="13"/>
        <v>76.85513527</v>
      </c>
      <c r="Q27" s="26" t="str">
        <f t="shared" si="14"/>
        <v/>
      </c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ht="15.75" customHeight="1">
      <c r="A29" s="27" t="s">
        <v>53</v>
      </c>
      <c r="B29" s="7"/>
      <c r="C29" s="7"/>
      <c r="D29" s="7"/>
      <c r="E29" s="7"/>
      <c r="F29" s="7"/>
      <c r="G29" s="7"/>
      <c r="H29" s="7"/>
      <c r="I29" s="8"/>
      <c r="J29" s="2"/>
      <c r="K29" s="2"/>
      <c r="L29" s="2"/>
      <c r="M29" s="2"/>
      <c r="N29" s="2"/>
      <c r="O29" s="2"/>
    </row>
    <row r="30" ht="15.75" customHeight="1">
      <c r="A30" s="9" t="s">
        <v>54</v>
      </c>
      <c r="B30" s="28">
        <f>IFERROR(SLOPE(F8:F27,E8:E27),"")</f>
        <v>3872.981374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ht="15.75" customHeight="1">
      <c r="A31" s="9" t="s">
        <v>55</v>
      </c>
      <c r="B31" s="29">
        <f>IFERROR(EXP(INTERCEPT(F8:F27,E8:E27)+B30/D4),"")</f>
        <v>98773.45989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ht="15.75" customHeight="1">
      <c r="A32" s="9" t="s">
        <v>56</v>
      </c>
      <c r="B32" s="30">
        <f>IFERROR(INTERCEPT(F8:F27,E8:E27),"")</f>
        <v>-1.489458956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ht="15.75" customHeight="1">
      <c r="A33" s="9" t="s">
        <v>57</v>
      </c>
      <c r="B33" s="31">
        <f>IFERROR(RSQ(F8:F27,E8:E27),"")</f>
        <v>0.9995718809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ht="15.75" customHeight="1">
      <c r="A34" s="9" t="s">
        <v>58</v>
      </c>
      <c r="B34" s="32">
        <f>COUNT(D8:D27)</f>
        <v>20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ht="15.75" customHeight="1">
      <c r="A35" s="9" t="s">
        <v>59</v>
      </c>
      <c r="B35" s="29">
        <f>IFERROR(B31*EXP(B30*(1/(25+273.15)-1/D4)),"")</f>
        <v>98773.45989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ht="15.75" customHeight="1">
      <c r="A36" s="9" t="s">
        <v>60</v>
      </c>
      <c r="B36" s="29">
        <f>IFERROR(B31*EXP(B30*(1/(0+273.15)-1/D4)),"")</f>
        <v>324323.0509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ht="15.75" customHeight="1">
      <c r="A37" s="9" t="s">
        <v>61</v>
      </c>
      <c r="B37" s="29">
        <f>IFERROR(B31*EXP(B30*(1/(50+273.15)-1/D4)),"")</f>
        <v>36157.13649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ht="15.75" customHeight="1">
      <c r="A39" s="27" t="s">
        <v>62</v>
      </c>
      <c r="B39" s="7"/>
      <c r="C39" s="7"/>
      <c r="D39" s="7"/>
      <c r="E39" s="7"/>
      <c r="F39" s="7"/>
      <c r="G39" s="7"/>
      <c r="H39" s="7"/>
      <c r="I39" s="8"/>
      <c r="J39" s="3"/>
      <c r="K39" s="3"/>
      <c r="L39" s="2"/>
      <c r="M39" s="2"/>
      <c r="N39" s="2"/>
      <c r="O39" s="2"/>
    </row>
    <row r="40" ht="15.75" customHeight="1">
      <c r="A40" s="9" t="s">
        <v>63</v>
      </c>
      <c r="B40" s="33">
        <f t="array" ref="B40">IFERROR(INDEX(LINEST(OFFSET(E8,0,0,COUNT(D8:D27),1),OFFSET(J8,0,0,COUNT(D8:D27),2),TRUE(),FALSE()),1,3),"")</f>
        <v>0.0008259969752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ht="15.75" customHeight="1">
      <c r="A41" s="9" t="s">
        <v>64</v>
      </c>
      <c r="B41" s="33">
        <f t="array" ref="B41">IFERROR(INDEX(LINEST(OFFSET(E8,0,0,COUNT(D8:D27),1),OFFSET(J8,0,0,COUNT(D8:D27),2),TRUE(),FALSE()),1,2),"")</f>
        <v>0.0001987447054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ht="15.75" customHeight="1">
      <c r="A42" s="9" t="s">
        <v>65</v>
      </c>
      <c r="B42" s="33">
        <f t="array" ref="B42">IFERROR(INDEX(LINEST(OFFSET(E8,0,0,COUNT(D8:D27),1),OFFSET(J8,0,0,COUNT(D8:D27),2),TRUE(),FALSE()),1,1),"")</f>
        <v>0.0000001568288742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ht="15.75" customHeight="1">
      <c r="A43" s="9" t="s">
        <v>66</v>
      </c>
      <c r="B43" s="34">
        <f>IFERROR(1/(B40+B41*LN(B31)+B42*LN(B31)^3)-273.15,"")</f>
        <v>25.33691026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ht="15.75" customHeight="1">
      <c r="A45" s="27" t="s">
        <v>67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8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ht="15.75" customHeight="1">
      <c r="A47" s="9" t="s">
        <v>68</v>
      </c>
      <c r="B47" s="35">
        <v>5.0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ht="15.75" customHeight="1">
      <c r="A48" s="9" t="s">
        <v>69</v>
      </c>
      <c r="B48" s="35">
        <v>40.0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ht="15.75" customHeight="1">
      <c r="A49" s="9" t="s">
        <v>70</v>
      </c>
      <c r="B49" s="35">
        <v>10.0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ht="15.75" customHeight="1">
      <c r="A50" s="9" t="s">
        <v>71</v>
      </c>
      <c r="B50" s="35">
        <v>30.0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ht="15.75" customHeight="1">
      <c r="A52" s="27" t="s">
        <v>72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8"/>
    </row>
    <row r="53" ht="15.75" customHeight="1">
      <c r="A53" s="9" t="s">
        <v>73</v>
      </c>
      <c r="B53" s="28">
        <f>IFERROR(((SUM(L8:L27)*SUMPRODUCT(N8:N27,O8:O27)-SUM(N8:N27)*SUM(O8:O27))/(SUM(L8:L27)*SUMPRODUCT(N8:N27,N8:N27)-SUM(N8:N27)^2)),"")</f>
        <v>3816.564267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ht="15.75" customHeight="1">
      <c r="A54" s="9" t="s">
        <v>56</v>
      </c>
      <c r="B54" s="30">
        <f>IFERROR(((SUM(O8:O27)-$B$53*SUM(N8:N27))/SUM(L8:L27)),"")</f>
        <v>-1.288503865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ht="15.75" customHeight="1">
      <c r="A55" s="9" t="s">
        <v>74</v>
      </c>
      <c r="B55" s="29">
        <f>IFERROR(EXP(B53/298.15+B54),"")</f>
        <v>99939.01327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ht="15.75" customHeight="1">
      <c r="A56" s="9" t="s">
        <v>75</v>
      </c>
      <c r="B56" s="32">
        <f>SUM(L8:L27)</f>
        <v>10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ht="15.75" customHeight="1">
      <c r="A57" s="9" t="s">
        <v>76</v>
      </c>
      <c r="B57" s="31">
        <f>IFERROR((SUM(L8:L27)*SUMPRODUCT(N8:N27,O8:O27)-SUM(N8:N27)*SUM(O8:O27))^2/((SUM(L8:L27)*SUMPRODUCT(N8:N27,N8:N27)-SUM(N8:N27)^2)*(SUM(L8:L27)*SUMPRODUCT(O8:O27,O8:O27)-SUM(O8:O27)^2)),"")</f>
        <v>0.9996490425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ht="15.75" customHeight="1">
      <c r="A59" s="27" t="s">
        <v>77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8"/>
    </row>
    <row r="60" ht="15.75" customHeight="1">
      <c r="A60" s="9" t="s">
        <v>78</v>
      </c>
      <c r="B60" s="32">
        <f>COUNT(Q8:Q27)</f>
        <v>6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ht="15.75" customHeight="1">
      <c r="A61" s="9" t="s">
        <v>79</v>
      </c>
      <c r="B61" s="34">
        <f>IFERROR(SQRT(SUMSQ(Q8:Q27)/COUNT(Q8:Q27)),"")</f>
        <v>0.1197931658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ht="15.75" customHeight="1">
      <c r="A62" s="9" t="s">
        <v>80</v>
      </c>
      <c r="B62" s="34">
        <f>IFERROR(MIN(Q8:Q27),"")</f>
        <v>-0.210358073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ht="15.75" customHeight="1">
      <c r="A63" s="9" t="s">
        <v>81</v>
      </c>
      <c r="B63" s="34">
        <f>IFERROR(MAX(Q8:Q27),"")</f>
        <v>0.06700284824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ht="15.75" customHeight="1">
      <c r="A64" s="9" t="s">
        <v>82</v>
      </c>
      <c r="B64" s="34">
        <f>IFERROR(AVERAGE(Q8:Q27),"")</f>
        <v>-0.08428886152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ht="31.5" customHeight="1">
      <c r="A66" s="36" t="s">
        <v>83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8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I1"/>
    <mergeCell ref="A6:I6"/>
    <mergeCell ref="A29:I29"/>
    <mergeCell ref="A39:I39"/>
    <mergeCell ref="A45:Q45"/>
    <mergeCell ref="A52:Q52"/>
    <mergeCell ref="A59:Q59"/>
    <mergeCell ref="A66:Q66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24.71"/>
    <col customWidth="1" min="2" max="3" width="13.0"/>
    <col customWidth="1" min="4" max="4" width="14.0"/>
    <col customWidth="1" min="5" max="5" width="13.0"/>
    <col customWidth="1" min="6" max="6" width="12.0"/>
    <col customWidth="1" min="7" max="9" width="13.0"/>
    <col customWidth="1" min="10" max="10" width="12.0"/>
    <col customWidth="1" min="11" max="11" width="14.0"/>
    <col customWidth="1" min="12" max="17" width="10.0"/>
  </cols>
  <sheetData>
    <row r="1" ht="21.75" customHeight="1">
      <c r="A1" s="6" t="s">
        <v>84</v>
      </c>
      <c r="B1" s="7"/>
      <c r="C1" s="7"/>
      <c r="D1" s="7"/>
      <c r="E1" s="7"/>
      <c r="F1" s="7"/>
      <c r="G1" s="7"/>
      <c r="H1" s="7"/>
      <c r="I1" s="8"/>
      <c r="J1" s="2"/>
      <c r="K1" s="2"/>
      <c r="L1" s="2"/>
      <c r="M1" s="2"/>
      <c r="N1" s="2"/>
      <c r="O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9" t="s">
        <v>31</v>
      </c>
      <c r="B3" s="10" t="s">
        <v>85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9" t="s">
        <v>33</v>
      </c>
      <c r="B4" s="11">
        <v>25.0</v>
      </c>
      <c r="C4" s="12" t="s">
        <v>34</v>
      </c>
      <c r="D4" s="13">
        <f>B4+273.15</f>
        <v>298.15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8.0" customHeight="1">
      <c r="A6" s="14" t="s">
        <v>35</v>
      </c>
      <c r="B6" s="7"/>
      <c r="C6" s="7"/>
      <c r="D6" s="7"/>
      <c r="E6" s="7"/>
      <c r="F6" s="7"/>
      <c r="G6" s="7"/>
      <c r="H6" s="7"/>
      <c r="I6" s="8"/>
      <c r="J6" s="2"/>
      <c r="K6" s="2"/>
      <c r="L6" s="2"/>
      <c r="M6" s="2"/>
      <c r="N6" s="2"/>
      <c r="O6" s="2"/>
    </row>
    <row r="7" ht="30.0" customHeight="1">
      <c r="A7" s="15" t="s">
        <v>36</v>
      </c>
      <c r="B7" s="15" t="s">
        <v>37</v>
      </c>
      <c r="C7" s="15" t="s">
        <v>38</v>
      </c>
      <c r="D7" s="15" t="s">
        <v>39</v>
      </c>
      <c r="E7" s="15" t="s">
        <v>40</v>
      </c>
      <c r="F7" s="15" t="s">
        <v>41</v>
      </c>
      <c r="G7" s="15" t="s">
        <v>42</v>
      </c>
      <c r="H7" s="15" t="s">
        <v>43</v>
      </c>
      <c r="I7" s="15" t="s">
        <v>44</v>
      </c>
      <c r="J7" s="15" t="s">
        <v>45</v>
      </c>
      <c r="K7" s="15" t="s">
        <v>46</v>
      </c>
      <c r="L7" s="16" t="s">
        <v>47</v>
      </c>
      <c r="M7" s="16" t="s">
        <v>48</v>
      </c>
      <c r="N7" s="16" t="s">
        <v>49</v>
      </c>
      <c r="O7" s="16" t="s">
        <v>50</v>
      </c>
      <c r="P7" s="16" t="s">
        <v>51</v>
      </c>
      <c r="Q7" s="16" t="s">
        <v>52</v>
      </c>
    </row>
    <row r="8">
      <c r="A8" s="17">
        <v>1.0</v>
      </c>
      <c r="B8" s="18">
        <v>0.5</v>
      </c>
      <c r="C8" s="19">
        <f t="shared" ref="C8:C27" si="1">IF(B8="","",B8+273.15)</f>
        <v>273.65</v>
      </c>
      <c r="D8" s="20">
        <v>312000.0</v>
      </c>
      <c r="E8" s="21">
        <f t="shared" ref="E8:E27" si="2">IF(C8="","",1/C8)</f>
        <v>0.003654302942</v>
      </c>
      <c r="F8" s="22">
        <f t="shared" ref="F8:F27" si="3">IF(D8="","",LN(D8))</f>
        <v>12.65075847</v>
      </c>
      <c r="G8" s="23">
        <f t="shared" ref="G8:G27" si="4">IF(OR(D8="",$B$30=""),"",$B$31*EXP($B$30*(E8-1/$D$4)))</f>
        <v>312531.2853</v>
      </c>
      <c r="H8" s="19">
        <f t="shared" ref="H8:H27" si="5">IF(OR(D8="",G8=""),"",(G8-D8)/D8*100)</f>
        <v>0.1702837624</v>
      </c>
      <c r="I8" s="24">
        <f t="shared" ref="I8:I27" si="6">IF(F8="","",F8^3)</f>
        <v>2024.648762</v>
      </c>
      <c r="J8" s="22">
        <f t="shared" ref="J8:J27" si="7">IF(F8="","",F8)</f>
        <v>12.65075847</v>
      </c>
      <c r="K8" s="24">
        <f t="shared" ref="K8:K27" si="8">IF(F8="","",F8^3)</f>
        <v>2024.648762</v>
      </c>
      <c r="L8" s="25">
        <f t="shared" ref="L8:L27" si="9">IF(AND(ISNUMBER(B8),ISNUMBER(D8),B8&gt;=$B$47,B8&lt;=$B$48),1,0)</f>
        <v>0</v>
      </c>
      <c r="M8" s="25">
        <f t="shared" ref="M8:M27" si="10">IF(AND(ISNUMBER(B8),ISNUMBER(D8),B8&gt;=$B$49,B8&lt;=$B$50),1,0)</f>
        <v>0</v>
      </c>
      <c r="N8" s="21">
        <f t="shared" ref="N8:N27" si="11">IF(L8=1, 1/(B8+273.15), 0)</f>
        <v>0</v>
      </c>
      <c r="O8" s="22">
        <f t="shared" ref="O8:O27" si="12">IF(L8=1, LN(D8), 0)</f>
        <v>0</v>
      </c>
      <c r="P8" s="26">
        <f t="shared" ref="P8:P27" si="13">IF(ISNUMBER(D8),$B$53/(LN(D8)-$B$54)-273.15,"")</f>
        <v>0.6082428524</v>
      </c>
      <c r="Q8" s="26" t="str">
        <f t="shared" ref="Q8:Q27" si="14">IF(AND(M8=1,ISNUMBER(P8),ISNUMBER(B8)),P8-B8,"")</f>
        <v/>
      </c>
    </row>
    <row r="9">
      <c r="A9" s="17">
        <v>2.0</v>
      </c>
      <c r="B9" s="18">
        <v>1.6</v>
      </c>
      <c r="C9" s="19">
        <f t="shared" si="1"/>
        <v>274.75</v>
      </c>
      <c r="D9" s="20">
        <v>280000.0</v>
      </c>
      <c r="E9" s="21">
        <f t="shared" si="2"/>
        <v>0.003639672429</v>
      </c>
      <c r="F9" s="22">
        <f t="shared" si="3"/>
        <v>12.54254488</v>
      </c>
      <c r="G9" s="23">
        <f t="shared" si="4"/>
        <v>295382.3873</v>
      </c>
      <c r="H9" s="19">
        <f t="shared" si="5"/>
        <v>5.493709765</v>
      </c>
      <c r="I9" s="24">
        <f t="shared" si="6"/>
        <v>1973.135868</v>
      </c>
      <c r="J9" s="22">
        <f t="shared" si="7"/>
        <v>12.54254488</v>
      </c>
      <c r="K9" s="24">
        <f t="shared" si="8"/>
        <v>1973.135868</v>
      </c>
      <c r="L9" s="25">
        <f t="shared" si="9"/>
        <v>0</v>
      </c>
      <c r="M9" s="25">
        <f t="shared" si="10"/>
        <v>0</v>
      </c>
      <c r="N9" s="21">
        <f t="shared" si="11"/>
        <v>0</v>
      </c>
      <c r="O9" s="22">
        <f t="shared" si="12"/>
        <v>0</v>
      </c>
      <c r="P9" s="26">
        <f t="shared" si="13"/>
        <v>2.747384302</v>
      </c>
      <c r="Q9" s="26" t="str">
        <f t="shared" si="14"/>
        <v/>
      </c>
    </row>
    <row r="10">
      <c r="A10" s="17">
        <v>3.0</v>
      </c>
      <c r="B10" s="18">
        <v>4.9</v>
      </c>
      <c r="C10" s="19">
        <f t="shared" si="1"/>
        <v>278.05</v>
      </c>
      <c r="D10" s="20">
        <v>240000.0</v>
      </c>
      <c r="E10" s="21">
        <f t="shared" si="2"/>
        <v>0.003596475454</v>
      </c>
      <c r="F10" s="22">
        <f t="shared" si="3"/>
        <v>12.3883942</v>
      </c>
      <c r="G10" s="23">
        <f t="shared" si="4"/>
        <v>250046.8648</v>
      </c>
      <c r="H10" s="19">
        <f t="shared" si="5"/>
        <v>4.186193655</v>
      </c>
      <c r="I10" s="24">
        <f t="shared" si="6"/>
        <v>1901.275487</v>
      </c>
      <c r="J10" s="22">
        <f t="shared" si="7"/>
        <v>12.3883942</v>
      </c>
      <c r="K10" s="24">
        <f t="shared" si="8"/>
        <v>1901.275487</v>
      </c>
      <c r="L10" s="25">
        <f t="shared" si="9"/>
        <v>0</v>
      </c>
      <c r="M10" s="25">
        <f t="shared" si="10"/>
        <v>0</v>
      </c>
      <c r="N10" s="21">
        <f t="shared" si="11"/>
        <v>0</v>
      </c>
      <c r="O10" s="22">
        <f t="shared" si="12"/>
        <v>0</v>
      </c>
      <c r="P10" s="26">
        <f t="shared" si="13"/>
        <v>5.852979166</v>
      </c>
      <c r="Q10" s="26" t="str">
        <f t="shared" si="14"/>
        <v/>
      </c>
    </row>
    <row r="11">
      <c r="A11" s="17">
        <v>4.0</v>
      </c>
      <c r="B11" s="18">
        <v>9.3</v>
      </c>
      <c r="C11" s="19">
        <f t="shared" si="1"/>
        <v>282.45</v>
      </c>
      <c r="D11" s="20">
        <v>200000.0</v>
      </c>
      <c r="E11" s="21">
        <f t="shared" si="2"/>
        <v>0.003540449637</v>
      </c>
      <c r="F11" s="22">
        <f t="shared" si="3"/>
        <v>12.20607265</v>
      </c>
      <c r="G11" s="23">
        <f t="shared" si="4"/>
        <v>201450.0926</v>
      </c>
      <c r="H11" s="19">
        <f t="shared" si="5"/>
        <v>0.7250463102</v>
      </c>
      <c r="I11" s="24">
        <f t="shared" si="6"/>
        <v>1818.560908</v>
      </c>
      <c r="J11" s="22">
        <f t="shared" si="7"/>
        <v>12.20607265</v>
      </c>
      <c r="K11" s="24">
        <f t="shared" si="8"/>
        <v>1818.560908</v>
      </c>
      <c r="L11" s="25">
        <f t="shared" si="9"/>
        <v>1</v>
      </c>
      <c r="M11" s="25">
        <f t="shared" si="10"/>
        <v>0</v>
      </c>
      <c r="N11" s="21">
        <f t="shared" si="11"/>
        <v>0.003540449637</v>
      </c>
      <c r="O11" s="22">
        <f t="shared" si="12"/>
        <v>12.20607265</v>
      </c>
      <c r="P11" s="26">
        <f t="shared" si="13"/>
        <v>9.617584163</v>
      </c>
      <c r="Q11" s="26" t="str">
        <f t="shared" si="14"/>
        <v/>
      </c>
    </row>
    <row r="12">
      <c r="A12" s="17">
        <v>5.0</v>
      </c>
      <c r="B12" s="18">
        <v>12.0</v>
      </c>
      <c r="C12" s="19">
        <f t="shared" si="1"/>
        <v>285.15</v>
      </c>
      <c r="D12" s="20">
        <v>179400.0</v>
      </c>
      <c r="E12" s="21">
        <f t="shared" si="2"/>
        <v>0.003506926179</v>
      </c>
      <c r="F12" s="22">
        <f t="shared" si="3"/>
        <v>12.09737323</v>
      </c>
      <c r="G12" s="23">
        <f t="shared" si="4"/>
        <v>177014.6773</v>
      </c>
      <c r="H12" s="19">
        <f t="shared" si="5"/>
        <v>-1.329611298</v>
      </c>
      <c r="I12" s="24">
        <f t="shared" si="6"/>
        <v>1770.407494</v>
      </c>
      <c r="J12" s="22">
        <f t="shared" si="7"/>
        <v>12.09737323</v>
      </c>
      <c r="K12" s="24">
        <f t="shared" si="8"/>
        <v>1770.407494</v>
      </c>
      <c r="L12" s="25">
        <f t="shared" si="9"/>
        <v>1</v>
      </c>
      <c r="M12" s="25">
        <f t="shared" si="10"/>
        <v>1</v>
      </c>
      <c r="N12" s="21">
        <f t="shared" si="11"/>
        <v>0.003506926179</v>
      </c>
      <c r="O12" s="22">
        <f t="shared" si="12"/>
        <v>12.09737323</v>
      </c>
      <c r="P12" s="26">
        <f t="shared" si="13"/>
        <v>11.9107592</v>
      </c>
      <c r="Q12" s="26">
        <f t="shared" si="14"/>
        <v>-0.08924080209</v>
      </c>
    </row>
    <row r="13">
      <c r="A13" s="17">
        <v>6.0</v>
      </c>
      <c r="B13" s="18">
        <v>14.6</v>
      </c>
      <c r="C13" s="19">
        <f t="shared" si="1"/>
        <v>287.75</v>
      </c>
      <c r="D13" s="20">
        <v>158300.0</v>
      </c>
      <c r="E13" s="21">
        <f t="shared" si="2"/>
        <v>0.003475238923</v>
      </c>
      <c r="F13" s="22">
        <f t="shared" si="3"/>
        <v>11.97224725</v>
      </c>
      <c r="G13" s="23">
        <f t="shared" si="4"/>
        <v>156648.7999</v>
      </c>
      <c r="H13" s="19">
        <f t="shared" si="5"/>
        <v>-1.043082812</v>
      </c>
      <c r="I13" s="24">
        <f t="shared" si="6"/>
        <v>1716.038517</v>
      </c>
      <c r="J13" s="22">
        <f t="shared" si="7"/>
        <v>11.97224725</v>
      </c>
      <c r="K13" s="24">
        <f t="shared" si="8"/>
        <v>1716.038517</v>
      </c>
      <c r="L13" s="25">
        <f t="shared" si="9"/>
        <v>1</v>
      </c>
      <c r="M13" s="25">
        <f t="shared" si="10"/>
        <v>1</v>
      </c>
      <c r="N13" s="21">
        <f t="shared" si="11"/>
        <v>0.003475238923</v>
      </c>
      <c r="O13" s="22">
        <f t="shared" si="12"/>
        <v>11.97224725</v>
      </c>
      <c r="P13" s="26">
        <f t="shared" si="13"/>
        <v>14.59696088</v>
      </c>
      <c r="Q13" s="26">
        <f t="shared" si="14"/>
        <v>-0.003039124269</v>
      </c>
    </row>
    <row r="14">
      <c r="A14" s="17">
        <v>7.0</v>
      </c>
      <c r="B14" s="18">
        <v>18.4</v>
      </c>
      <c r="C14" s="19">
        <f t="shared" si="1"/>
        <v>291.55</v>
      </c>
      <c r="D14" s="20">
        <v>134000.0</v>
      </c>
      <c r="E14" s="21">
        <f t="shared" si="2"/>
        <v>0.003429943406</v>
      </c>
      <c r="F14" s="22">
        <f t="shared" si="3"/>
        <v>11.80559508</v>
      </c>
      <c r="G14" s="23">
        <f t="shared" si="4"/>
        <v>131537.1512</v>
      </c>
      <c r="H14" s="19">
        <f t="shared" si="5"/>
        <v>-1.837946837</v>
      </c>
      <c r="I14" s="24">
        <f t="shared" si="6"/>
        <v>1645.370285</v>
      </c>
      <c r="J14" s="22">
        <f t="shared" si="7"/>
        <v>11.80559508</v>
      </c>
      <c r="K14" s="24">
        <f t="shared" si="8"/>
        <v>1645.370285</v>
      </c>
      <c r="L14" s="25">
        <f t="shared" si="9"/>
        <v>1</v>
      </c>
      <c r="M14" s="25">
        <f t="shared" si="10"/>
        <v>1</v>
      </c>
      <c r="N14" s="21">
        <f t="shared" si="11"/>
        <v>0.003429943406</v>
      </c>
      <c r="O14" s="22">
        <f t="shared" si="12"/>
        <v>11.80559508</v>
      </c>
      <c r="P14" s="26">
        <f t="shared" si="13"/>
        <v>18.25426048</v>
      </c>
      <c r="Q14" s="26">
        <f t="shared" si="14"/>
        <v>-0.1457395176</v>
      </c>
    </row>
    <row r="15">
      <c r="A15" s="17">
        <v>8.0</v>
      </c>
      <c r="B15" s="18">
        <v>21.6</v>
      </c>
      <c r="C15" s="19">
        <f t="shared" si="1"/>
        <v>294.75</v>
      </c>
      <c r="D15" s="20">
        <v>116250.0</v>
      </c>
      <c r="E15" s="21">
        <f t="shared" si="2"/>
        <v>0.003392705683</v>
      </c>
      <c r="F15" s="22">
        <f t="shared" si="3"/>
        <v>11.66349832</v>
      </c>
      <c r="G15" s="23">
        <f t="shared" si="4"/>
        <v>113937.8801</v>
      </c>
      <c r="H15" s="19">
        <f t="shared" si="5"/>
        <v>-1.98892037</v>
      </c>
      <c r="I15" s="24">
        <f t="shared" si="6"/>
        <v>1586.669574</v>
      </c>
      <c r="J15" s="22">
        <f t="shared" si="7"/>
        <v>11.66349832</v>
      </c>
      <c r="K15" s="24">
        <f t="shared" si="8"/>
        <v>1586.669574</v>
      </c>
      <c r="L15" s="25">
        <f t="shared" si="9"/>
        <v>1</v>
      </c>
      <c r="M15" s="25">
        <f t="shared" si="10"/>
        <v>1</v>
      </c>
      <c r="N15" s="21">
        <f t="shared" si="11"/>
        <v>0.003392705683</v>
      </c>
      <c r="O15" s="22">
        <f t="shared" si="12"/>
        <v>11.66349832</v>
      </c>
      <c r="P15" s="26">
        <f t="shared" si="13"/>
        <v>21.4469095</v>
      </c>
      <c r="Q15" s="26">
        <f t="shared" si="14"/>
        <v>-0.1530905009</v>
      </c>
    </row>
    <row r="16">
      <c r="A16" s="17">
        <v>9.0</v>
      </c>
      <c r="B16" s="18">
        <v>25.2</v>
      </c>
      <c r="C16" s="19">
        <f t="shared" si="1"/>
        <v>298.35</v>
      </c>
      <c r="D16" s="20">
        <v>99000.0</v>
      </c>
      <c r="E16" s="21">
        <f t="shared" si="2"/>
        <v>0.003351768058</v>
      </c>
      <c r="F16" s="22">
        <f t="shared" si="3"/>
        <v>11.50287513</v>
      </c>
      <c r="G16" s="23">
        <f t="shared" si="4"/>
        <v>97294.83707</v>
      </c>
      <c r="H16" s="19">
        <f t="shared" si="5"/>
        <v>-1.722386793</v>
      </c>
      <c r="I16" s="24">
        <f t="shared" si="6"/>
        <v>1522.015993</v>
      </c>
      <c r="J16" s="22">
        <f t="shared" si="7"/>
        <v>11.50287513</v>
      </c>
      <c r="K16" s="24">
        <f t="shared" si="8"/>
        <v>1522.015993</v>
      </c>
      <c r="L16" s="25">
        <f t="shared" si="9"/>
        <v>1</v>
      </c>
      <c r="M16" s="25">
        <f t="shared" si="10"/>
        <v>1</v>
      </c>
      <c r="N16" s="21">
        <f t="shared" si="11"/>
        <v>0.003351768058</v>
      </c>
      <c r="O16" s="22">
        <f t="shared" si="12"/>
        <v>11.50287513</v>
      </c>
      <c r="P16" s="26">
        <f t="shared" si="13"/>
        <v>25.14110332</v>
      </c>
      <c r="Q16" s="26">
        <f t="shared" si="14"/>
        <v>-0.05889668235</v>
      </c>
    </row>
    <row r="17">
      <c r="A17" s="17">
        <v>10.0</v>
      </c>
      <c r="B17" s="18">
        <v>27.8</v>
      </c>
      <c r="C17" s="19">
        <f t="shared" si="1"/>
        <v>300.95</v>
      </c>
      <c r="D17" s="20">
        <v>88600.0</v>
      </c>
      <c r="E17" s="21">
        <f t="shared" si="2"/>
        <v>0.003322811098</v>
      </c>
      <c r="F17" s="22">
        <f t="shared" si="3"/>
        <v>11.39188714</v>
      </c>
      <c r="G17" s="23">
        <f t="shared" si="4"/>
        <v>87012.44223</v>
      </c>
      <c r="H17" s="19">
        <f t="shared" si="5"/>
        <v>-1.791825925</v>
      </c>
      <c r="I17" s="24">
        <f t="shared" si="6"/>
        <v>1478.383207</v>
      </c>
      <c r="J17" s="22">
        <f t="shared" si="7"/>
        <v>11.39188714</v>
      </c>
      <c r="K17" s="24">
        <f t="shared" si="8"/>
        <v>1478.383207</v>
      </c>
      <c r="L17" s="25">
        <f t="shared" si="9"/>
        <v>1</v>
      </c>
      <c r="M17" s="25">
        <f t="shared" si="10"/>
        <v>1</v>
      </c>
      <c r="N17" s="21">
        <f t="shared" si="11"/>
        <v>0.003322811098</v>
      </c>
      <c r="O17" s="22">
        <f t="shared" si="12"/>
        <v>11.39188714</v>
      </c>
      <c r="P17" s="26">
        <f t="shared" si="13"/>
        <v>27.74833129</v>
      </c>
      <c r="Q17" s="26">
        <f t="shared" si="14"/>
        <v>-0.05166870513</v>
      </c>
    </row>
    <row r="18">
      <c r="A18" s="17">
        <v>11.0</v>
      </c>
      <c r="B18" s="18">
        <v>31.6</v>
      </c>
      <c r="C18" s="19">
        <f t="shared" si="1"/>
        <v>304.75</v>
      </c>
      <c r="D18" s="20">
        <v>75900.0</v>
      </c>
      <c r="E18" s="21">
        <f t="shared" si="2"/>
        <v>0.003281378179</v>
      </c>
      <c r="F18" s="22">
        <f t="shared" si="3"/>
        <v>11.23717196</v>
      </c>
      <c r="G18" s="23">
        <f t="shared" si="4"/>
        <v>74160.61223</v>
      </c>
      <c r="H18" s="19">
        <f t="shared" si="5"/>
        <v>-2.291683486</v>
      </c>
      <c r="I18" s="24">
        <f t="shared" si="6"/>
        <v>1418.963032</v>
      </c>
      <c r="J18" s="22">
        <f t="shared" si="7"/>
        <v>11.23717196</v>
      </c>
      <c r="K18" s="24">
        <f t="shared" si="8"/>
        <v>1418.963032</v>
      </c>
      <c r="L18" s="25">
        <f t="shared" si="9"/>
        <v>1</v>
      </c>
      <c r="M18" s="25">
        <f t="shared" si="10"/>
        <v>0</v>
      </c>
      <c r="N18" s="21">
        <f t="shared" si="11"/>
        <v>0.003281378179</v>
      </c>
      <c r="O18" s="22">
        <f t="shared" si="12"/>
        <v>11.23717196</v>
      </c>
      <c r="P18" s="26">
        <f t="shared" si="13"/>
        <v>31.45974539</v>
      </c>
      <c r="Q18" s="26" t="str">
        <f t="shared" si="14"/>
        <v/>
      </c>
    </row>
    <row r="19">
      <c r="A19" s="17">
        <v>12.0</v>
      </c>
      <c r="B19" s="18">
        <v>35.8</v>
      </c>
      <c r="C19" s="19">
        <f t="shared" si="1"/>
        <v>308.95</v>
      </c>
      <c r="D19" s="20">
        <v>63550.0</v>
      </c>
      <c r="E19" s="21">
        <f t="shared" si="2"/>
        <v>0.003236769704</v>
      </c>
      <c r="F19" s="22">
        <f t="shared" si="3"/>
        <v>11.05958228</v>
      </c>
      <c r="G19" s="23">
        <f t="shared" si="4"/>
        <v>62437.51249</v>
      </c>
      <c r="H19" s="19">
        <f t="shared" si="5"/>
        <v>-1.75057044</v>
      </c>
      <c r="I19" s="24">
        <f t="shared" si="6"/>
        <v>1352.74573</v>
      </c>
      <c r="J19" s="22">
        <f t="shared" si="7"/>
        <v>11.05958228</v>
      </c>
      <c r="K19" s="24">
        <f t="shared" si="8"/>
        <v>1352.74573</v>
      </c>
      <c r="L19" s="25">
        <f t="shared" si="9"/>
        <v>1</v>
      </c>
      <c r="M19" s="25">
        <f t="shared" si="10"/>
        <v>0</v>
      </c>
      <c r="N19" s="21">
        <f t="shared" si="11"/>
        <v>0.003236769704</v>
      </c>
      <c r="O19" s="22">
        <f t="shared" si="12"/>
        <v>11.05958228</v>
      </c>
      <c r="P19" s="26">
        <f t="shared" si="13"/>
        <v>35.8343719</v>
      </c>
      <c r="Q19" s="26" t="str">
        <f t="shared" si="14"/>
        <v/>
      </c>
    </row>
    <row r="20">
      <c r="A20" s="17">
        <v>13.0</v>
      </c>
      <c r="B20" s="18">
        <v>39.1</v>
      </c>
      <c r="C20" s="19">
        <f t="shared" si="1"/>
        <v>312.25</v>
      </c>
      <c r="D20" s="20">
        <v>55200.0</v>
      </c>
      <c r="E20" s="21">
        <f t="shared" si="2"/>
        <v>0.00320256205</v>
      </c>
      <c r="F20" s="22">
        <f t="shared" si="3"/>
        <v>10.91871823</v>
      </c>
      <c r="G20" s="23">
        <f t="shared" si="4"/>
        <v>54719.38899</v>
      </c>
      <c r="H20" s="19">
        <f t="shared" si="5"/>
        <v>-0.8706721115</v>
      </c>
      <c r="I20" s="24">
        <f t="shared" si="6"/>
        <v>1301.712203</v>
      </c>
      <c r="J20" s="22">
        <f t="shared" si="7"/>
        <v>10.91871823</v>
      </c>
      <c r="K20" s="24">
        <f t="shared" si="8"/>
        <v>1301.712203</v>
      </c>
      <c r="L20" s="25">
        <f t="shared" si="9"/>
        <v>1</v>
      </c>
      <c r="M20" s="25">
        <f t="shared" si="10"/>
        <v>0</v>
      </c>
      <c r="N20" s="21">
        <f t="shared" si="11"/>
        <v>0.00320256205</v>
      </c>
      <c r="O20" s="22">
        <f t="shared" si="12"/>
        <v>10.91871823</v>
      </c>
      <c r="P20" s="26">
        <f t="shared" si="13"/>
        <v>39.39471422</v>
      </c>
      <c r="Q20" s="26" t="str">
        <f t="shared" si="14"/>
        <v/>
      </c>
    </row>
    <row r="21" ht="15.75" customHeight="1">
      <c r="A21" s="17">
        <v>14.0</v>
      </c>
      <c r="B21" s="18">
        <v>42.6</v>
      </c>
      <c r="C21" s="19">
        <f t="shared" si="1"/>
        <v>315.75</v>
      </c>
      <c r="D21" s="20">
        <v>48000.0</v>
      </c>
      <c r="E21" s="21">
        <f t="shared" si="2"/>
        <v>0.003167062549</v>
      </c>
      <c r="F21" s="22">
        <f t="shared" si="3"/>
        <v>10.77895629</v>
      </c>
      <c r="G21" s="23">
        <f t="shared" si="4"/>
        <v>47716.96332</v>
      </c>
      <c r="H21" s="19">
        <f t="shared" si="5"/>
        <v>-0.5896597589</v>
      </c>
      <c r="I21" s="24">
        <f t="shared" si="6"/>
        <v>1252.362724</v>
      </c>
      <c r="J21" s="22">
        <f t="shared" si="7"/>
        <v>10.77895629</v>
      </c>
      <c r="K21" s="24">
        <f t="shared" si="8"/>
        <v>1252.362724</v>
      </c>
      <c r="L21" s="25">
        <f t="shared" si="9"/>
        <v>0</v>
      </c>
      <c r="M21" s="25">
        <f t="shared" si="10"/>
        <v>0</v>
      </c>
      <c r="N21" s="21">
        <f t="shared" si="11"/>
        <v>0</v>
      </c>
      <c r="O21" s="22">
        <f t="shared" si="12"/>
        <v>0</v>
      </c>
      <c r="P21" s="26">
        <f t="shared" si="13"/>
        <v>43.00922797</v>
      </c>
      <c r="Q21" s="26" t="str">
        <f t="shared" si="14"/>
        <v/>
      </c>
    </row>
    <row r="22" ht="15.75" customHeight="1">
      <c r="A22" s="17">
        <v>15.0</v>
      </c>
      <c r="B22" s="18">
        <v>46.2</v>
      </c>
      <c r="C22" s="19">
        <f t="shared" si="1"/>
        <v>319.35</v>
      </c>
      <c r="D22" s="20">
        <v>42700.0</v>
      </c>
      <c r="E22" s="21">
        <f t="shared" si="2"/>
        <v>0.003131360576</v>
      </c>
      <c r="F22" s="22">
        <f t="shared" si="3"/>
        <v>10.6619542</v>
      </c>
      <c r="G22" s="23">
        <f t="shared" si="4"/>
        <v>41578.15124</v>
      </c>
      <c r="H22" s="19">
        <f t="shared" si="5"/>
        <v>-2.627280473</v>
      </c>
      <c r="I22" s="24">
        <f t="shared" si="6"/>
        <v>1212.021818</v>
      </c>
      <c r="J22" s="22">
        <f t="shared" si="7"/>
        <v>10.6619542</v>
      </c>
      <c r="K22" s="24">
        <f t="shared" si="8"/>
        <v>1212.021818</v>
      </c>
      <c r="L22" s="25">
        <f t="shared" si="9"/>
        <v>0</v>
      </c>
      <c r="M22" s="25">
        <f t="shared" si="10"/>
        <v>0</v>
      </c>
      <c r="N22" s="21">
        <f t="shared" si="11"/>
        <v>0</v>
      </c>
      <c r="O22" s="22">
        <f t="shared" si="12"/>
        <v>0</v>
      </c>
      <c r="P22" s="26">
        <f t="shared" si="13"/>
        <v>46.10004562</v>
      </c>
      <c r="Q22" s="26" t="str">
        <f t="shared" si="14"/>
        <v/>
      </c>
    </row>
    <row r="23" ht="15.75" customHeight="1">
      <c r="A23" s="17">
        <v>16.0</v>
      </c>
      <c r="B23" s="18">
        <v>50.8</v>
      </c>
      <c r="C23" s="19">
        <f t="shared" si="1"/>
        <v>323.95</v>
      </c>
      <c r="D23" s="20">
        <v>34810.0</v>
      </c>
      <c r="E23" s="21">
        <f t="shared" si="2"/>
        <v>0.003086896126</v>
      </c>
      <c r="F23" s="22">
        <f t="shared" si="3"/>
        <v>10.45765998</v>
      </c>
      <c r="G23" s="23">
        <f t="shared" si="4"/>
        <v>35025.04723</v>
      </c>
      <c r="H23" s="19">
        <f t="shared" si="5"/>
        <v>0.6177742843</v>
      </c>
      <c r="I23" s="24">
        <f t="shared" si="6"/>
        <v>1143.677432</v>
      </c>
      <c r="J23" s="22">
        <f t="shared" si="7"/>
        <v>10.45765998</v>
      </c>
      <c r="K23" s="24">
        <f t="shared" si="8"/>
        <v>1143.677432</v>
      </c>
      <c r="L23" s="25">
        <f t="shared" si="9"/>
        <v>0</v>
      </c>
      <c r="M23" s="25">
        <f t="shared" si="10"/>
        <v>0</v>
      </c>
      <c r="N23" s="21">
        <f t="shared" si="11"/>
        <v>0</v>
      </c>
      <c r="O23" s="22">
        <f t="shared" si="12"/>
        <v>0</v>
      </c>
      <c r="P23" s="26">
        <f t="shared" si="13"/>
        <v>51.64423801</v>
      </c>
      <c r="Q23" s="26" t="str">
        <f t="shared" si="14"/>
        <v/>
      </c>
    </row>
    <row r="24" ht="15.75" customHeight="1">
      <c r="A24" s="17">
        <v>17.0</v>
      </c>
      <c r="B24" s="18">
        <v>54.0</v>
      </c>
      <c r="C24" s="19">
        <f t="shared" si="1"/>
        <v>327.15</v>
      </c>
      <c r="D24" s="20">
        <v>31300.0</v>
      </c>
      <c r="E24" s="21">
        <f t="shared" si="2"/>
        <v>0.003056701819</v>
      </c>
      <c r="F24" s="22">
        <f t="shared" si="3"/>
        <v>10.35137338</v>
      </c>
      <c r="G24" s="23">
        <f t="shared" si="4"/>
        <v>31174.35661</v>
      </c>
      <c r="H24" s="19">
        <f t="shared" si="5"/>
        <v>-0.4014165809</v>
      </c>
      <c r="I24" s="24">
        <f t="shared" si="6"/>
        <v>1109.159292</v>
      </c>
      <c r="J24" s="22">
        <f t="shared" si="7"/>
        <v>10.35137338</v>
      </c>
      <c r="K24" s="24">
        <f t="shared" si="8"/>
        <v>1109.159292</v>
      </c>
      <c r="L24" s="25">
        <f t="shared" si="9"/>
        <v>0</v>
      </c>
      <c r="M24" s="25">
        <f t="shared" si="10"/>
        <v>0</v>
      </c>
      <c r="N24" s="21">
        <f t="shared" si="11"/>
        <v>0</v>
      </c>
      <c r="O24" s="22">
        <f t="shared" si="12"/>
        <v>0</v>
      </c>
      <c r="P24" s="26">
        <f t="shared" si="13"/>
        <v>54.6055202</v>
      </c>
      <c r="Q24" s="26" t="str">
        <f t="shared" si="14"/>
        <v/>
      </c>
    </row>
    <row r="25" ht="15.75" customHeight="1">
      <c r="A25" s="17">
        <v>18.0</v>
      </c>
      <c r="B25" s="18">
        <v>61.5</v>
      </c>
      <c r="C25" s="19">
        <f t="shared" si="1"/>
        <v>334.65</v>
      </c>
      <c r="D25" s="20">
        <v>23509.0</v>
      </c>
      <c r="E25" s="21">
        <f t="shared" si="2"/>
        <v>0.002988196623</v>
      </c>
      <c r="F25" s="22">
        <f t="shared" si="3"/>
        <v>10.06513861</v>
      </c>
      <c r="G25" s="23">
        <f t="shared" si="4"/>
        <v>23935.26362</v>
      </c>
      <c r="H25" s="19">
        <f t="shared" si="5"/>
        <v>1.813193312</v>
      </c>
      <c r="I25" s="24">
        <f t="shared" si="6"/>
        <v>1019.669149</v>
      </c>
      <c r="J25" s="22">
        <f t="shared" si="7"/>
        <v>10.06513861</v>
      </c>
      <c r="K25" s="24">
        <f t="shared" si="8"/>
        <v>1019.669149</v>
      </c>
      <c r="L25" s="25">
        <f t="shared" si="9"/>
        <v>0</v>
      </c>
      <c r="M25" s="25">
        <f t="shared" si="10"/>
        <v>0</v>
      </c>
      <c r="N25" s="21">
        <f t="shared" si="11"/>
        <v>0</v>
      </c>
      <c r="O25" s="22">
        <f t="shared" si="12"/>
        <v>0</v>
      </c>
      <c r="P25" s="26">
        <f t="shared" si="13"/>
        <v>62.8556721</v>
      </c>
      <c r="Q25" s="26" t="str">
        <f t="shared" si="14"/>
        <v/>
      </c>
    </row>
    <row r="26" ht="15.75" customHeight="1">
      <c r="A26" s="17">
        <v>19.0</v>
      </c>
      <c r="B26" s="18">
        <v>71.5</v>
      </c>
      <c r="C26" s="19">
        <f t="shared" si="1"/>
        <v>344.65</v>
      </c>
      <c r="D26" s="20">
        <v>16700.0</v>
      </c>
      <c r="E26" s="21">
        <f t="shared" si="2"/>
        <v>0.00290149427</v>
      </c>
      <c r="F26" s="22">
        <f t="shared" si="3"/>
        <v>9.723163998</v>
      </c>
      <c r="G26" s="23">
        <f t="shared" si="4"/>
        <v>17131.4931</v>
      </c>
      <c r="H26" s="19">
        <f t="shared" si="5"/>
        <v>2.583791034</v>
      </c>
      <c r="I26" s="24">
        <f t="shared" si="6"/>
        <v>919.2271285</v>
      </c>
      <c r="J26" s="22">
        <f t="shared" si="7"/>
        <v>9.723163998</v>
      </c>
      <c r="K26" s="24">
        <f t="shared" si="8"/>
        <v>919.2271285</v>
      </c>
      <c r="L26" s="25">
        <f t="shared" si="9"/>
        <v>0</v>
      </c>
      <c r="M26" s="25">
        <f t="shared" si="10"/>
        <v>0</v>
      </c>
      <c r="N26" s="21">
        <f t="shared" si="11"/>
        <v>0</v>
      </c>
      <c r="O26" s="22">
        <f t="shared" si="12"/>
        <v>0</v>
      </c>
      <c r="P26" s="26">
        <f t="shared" si="13"/>
        <v>73.27383552</v>
      </c>
      <c r="Q26" s="26" t="str">
        <f t="shared" si="14"/>
        <v/>
      </c>
    </row>
    <row r="27" ht="15.75" customHeight="1">
      <c r="A27" s="17">
        <v>20.0</v>
      </c>
      <c r="B27" s="18">
        <v>78.0</v>
      </c>
      <c r="C27" s="19">
        <f t="shared" si="1"/>
        <v>351.15</v>
      </c>
      <c r="D27" s="20">
        <v>13500.0</v>
      </c>
      <c r="E27" s="21">
        <f t="shared" si="2"/>
        <v>0.002847785847</v>
      </c>
      <c r="F27" s="22">
        <f t="shared" si="3"/>
        <v>9.510444964</v>
      </c>
      <c r="G27" s="23">
        <f t="shared" si="4"/>
        <v>13925.90252</v>
      </c>
      <c r="H27" s="19">
        <f t="shared" si="5"/>
        <v>3.154833515</v>
      </c>
      <c r="I27" s="24">
        <f t="shared" si="6"/>
        <v>860.2060845</v>
      </c>
      <c r="J27" s="22">
        <f t="shared" si="7"/>
        <v>9.510444964</v>
      </c>
      <c r="K27" s="24">
        <f t="shared" si="8"/>
        <v>860.2060845</v>
      </c>
      <c r="L27" s="25">
        <f t="shared" si="9"/>
        <v>0</v>
      </c>
      <c r="M27" s="25">
        <f t="shared" si="10"/>
        <v>0</v>
      </c>
      <c r="N27" s="21">
        <f t="shared" si="11"/>
        <v>0</v>
      </c>
      <c r="O27" s="22">
        <f t="shared" si="12"/>
        <v>0</v>
      </c>
      <c r="P27" s="26">
        <f t="shared" si="13"/>
        <v>80.08658993</v>
      </c>
      <c r="Q27" s="26" t="str">
        <f t="shared" si="14"/>
        <v/>
      </c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ht="15.75" customHeight="1">
      <c r="A29" s="27" t="s">
        <v>53</v>
      </c>
      <c r="B29" s="7"/>
      <c r="C29" s="7"/>
      <c r="D29" s="7"/>
      <c r="E29" s="7"/>
      <c r="F29" s="7"/>
      <c r="G29" s="7"/>
      <c r="H29" s="7"/>
      <c r="I29" s="8"/>
      <c r="J29" s="2"/>
      <c r="K29" s="2"/>
      <c r="L29" s="2"/>
      <c r="M29" s="2"/>
      <c r="N29" s="2"/>
      <c r="O29" s="2"/>
    </row>
    <row r="30" ht="15.75" customHeight="1">
      <c r="A30" s="9" t="s">
        <v>54</v>
      </c>
      <c r="B30" s="28">
        <f>IFERROR(SLOPE(F8:F27,E8:E27),"")</f>
        <v>3857.269733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ht="15.75" customHeight="1">
      <c r="A31" s="9" t="s">
        <v>55</v>
      </c>
      <c r="B31" s="29">
        <f>IFERROR(EXP(INTERCEPT(F8:F27,E8:E27)+B30/D4),"")</f>
        <v>98142.30552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ht="15.75" customHeight="1">
      <c r="A32" s="9" t="s">
        <v>56</v>
      </c>
      <c r="B32" s="30">
        <f>IFERROR(INTERCEPT(F8:F27,E8:E27),"")</f>
        <v>-1.443172275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ht="15.75" customHeight="1">
      <c r="A33" s="9" t="s">
        <v>57</v>
      </c>
      <c r="B33" s="31">
        <f>IFERROR(RSQ(F8:F27,E8:E27),"")</f>
        <v>0.9994005472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ht="15.75" customHeight="1">
      <c r="A34" s="9" t="s">
        <v>58</v>
      </c>
      <c r="B34" s="32">
        <f>COUNT(D8:D27)</f>
        <v>20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ht="15.75" customHeight="1">
      <c r="A35" s="9" t="s">
        <v>59</v>
      </c>
      <c r="B35" s="29">
        <f>IFERROR(B31*EXP(B30*(1/(25+273.15)-1/D4)),"")</f>
        <v>98142.30552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ht="15.75" customHeight="1">
      <c r="A36" s="9" t="s">
        <v>60</v>
      </c>
      <c r="B36" s="29">
        <f>IFERROR(B31*EXP(B30*(1/(0+273.15)-1/D4)),"")</f>
        <v>320700.1506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ht="15.75" customHeight="1">
      <c r="A37" s="9" t="s">
        <v>61</v>
      </c>
      <c r="B37" s="29">
        <f>IFERROR(B31*EXP(B30*(1/(50+273.15)-1/D4)),"")</f>
        <v>36072.85888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ht="15.75" customHeight="1">
      <c r="A39" s="27" t="s">
        <v>62</v>
      </c>
      <c r="B39" s="7"/>
      <c r="C39" s="7"/>
      <c r="D39" s="7"/>
      <c r="E39" s="7"/>
      <c r="F39" s="7"/>
      <c r="G39" s="7"/>
      <c r="H39" s="7"/>
      <c r="I39" s="8"/>
      <c r="J39" s="3"/>
      <c r="K39" s="3"/>
      <c r="L39" s="2"/>
      <c r="M39" s="2"/>
      <c r="N39" s="2"/>
      <c r="O39" s="2"/>
    </row>
    <row r="40" ht="15.75" customHeight="1">
      <c r="A40" s="9" t="s">
        <v>63</v>
      </c>
      <c r="B40" s="33">
        <f t="array" ref="B40">IFERROR(INDEX(LINEST(OFFSET(E8,0,0,COUNT(D8:D27),1),OFFSET(J8,0,0,COUNT(D8:D27),2),TRUE(),FALSE()),1,3),"")</f>
        <v>0.0008454762978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ht="15.75" customHeight="1">
      <c r="A41" s="9" t="s">
        <v>64</v>
      </c>
      <c r="B41" s="33">
        <f t="array" ref="B41">IFERROR(INDEX(LINEST(OFFSET(E8,0,0,COUNT(D8:D27),1),OFFSET(J8,0,0,COUNT(D8:D27),2),TRUE(),FALSE()),1,2),"")</f>
        <v>0.0001953817084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ht="15.75" customHeight="1">
      <c r="A42" s="9" t="s">
        <v>65</v>
      </c>
      <c r="B42" s="33">
        <f t="array" ref="B42">IFERROR(INDEX(LINEST(OFFSET(E8,0,0,COUNT(D8:D27),1),OFFSET(J8,0,0,COUNT(D8:D27),2),TRUE(),FALSE()),1,1),"")</f>
        <v>0.0000001702921204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ht="15.75" customHeight="1">
      <c r="A43" s="9" t="s">
        <v>66</v>
      </c>
      <c r="B43" s="34">
        <f>IFERROR(1/(B40+B41*LN(B31)+B42*LN(B31)^3)-273.15,"")</f>
        <v>25.37286093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ht="15.75" customHeight="1">
      <c r="A45" s="27" t="s">
        <v>67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8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ht="15.75" customHeight="1">
      <c r="A47" s="9" t="s">
        <v>68</v>
      </c>
      <c r="B47" s="35">
        <v>5.0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ht="15.75" customHeight="1">
      <c r="A48" s="9" t="s">
        <v>69</v>
      </c>
      <c r="B48" s="35">
        <v>40.0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ht="15.75" customHeight="1">
      <c r="A49" s="9" t="s">
        <v>70</v>
      </c>
      <c r="B49" s="35">
        <v>10.0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ht="15.75" customHeight="1">
      <c r="A50" s="9" t="s">
        <v>71</v>
      </c>
      <c r="B50" s="35">
        <v>30.0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ht="15.75" customHeight="1">
      <c r="A52" s="27" t="s">
        <v>72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8"/>
    </row>
    <row r="53" ht="15.75" customHeight="1">
      <c r="A53" s="9" t="s">
        <v>73</v>
      </c>
      <c r="B53" s="28">
        <f>IFERROR(((SUM(L8:L27)*SUMPRODUCT(N8:N27,O8:O27)-SUM(N8:N27)*SUM(O8:O27))/(SUM(L8:L27)*SUMPRODUCT(N8:N27,N8:N27)-SUM(N8:N27)^2)),"")</f>
        <v>3820.824309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ht="15.75" customHeight="1">
      <c r="A54" s="9" t="s">
        <v>56</v>
      </c>
      <c r="B54" s="30">
        <f>IFERROR(((SUM(O8:O27)-$B$53*SUM(N8:N27))/SUM(L8:L27)),"")</f>
        <v>-1.306170354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ht="15.75" customHeight="1">
      <c r="A55" s="9" t="s">
        <v>74</v>
      </c>
      <c r="B55" s="29">
        <f>IFERROR(EXP(B53/298.15+B54),"")</f>
        <v>99601.96521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ht="15.75" customHeight="1">
      <c r="A56" s="9" t="s">
        <v>75</v>
      </c>
      <c r="B56" s="32">
        <f>SUM(L8:L27)</f>
        <v>10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ht="15.75" customHeight="1">
      <c r="A57" s="9" t="s">
        <v>76</v>
      </c>
      <c r="B57" s="31">
        <f>IFERROR((SUM(L8:L27)*SUMPRODUCT(N8:N27,O8:O27)-SUM(N8:N27)*SUM(O8:O27))^2/((SUM(L8:L27)*SUMPRODUCT(N8:N27,N8:N27)-SUM(N8:N27)^2)*(SUM(L8:L27)*SUMPRODUCT(O8:O27,O8:O27)-SUM(O8:O27)^2)),"")</f>
        <v>0.999702956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ht="15.75" customHeight="1">
      <c r="A59" s="27" t="s">
        <v>77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8"/>
    </row>
    <row r="60" ht="15.75" customHeight="1">
      <c r="A60" s="9" t="s">
        <v>78</v>
      </c>
      <c r="B60" s="32">
        <f>COUNT(Q8:Q27)</f>
        <v>6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ht="15.75" customHeight="1">
      <c r="A61" s="9" t="s">
        <v>79</v>
      </c>
      <c r="B61" s="34">
        <f>IFERROR(SQRT(SUMSQ(Q8:Q27)/COUNT(Q8:Q27)),"")</f>
        <v>0.09898513338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ht="15.75" customHeight="1">
      <c r="A62" s="9" t="s">
        <v>80</v>
      </c>
      <c r="B62" s="34">
        <f>IFERROR(MIN(Q8:Q27),"")</f>
        <v>-0.1530905009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ht="15.75" customHeight="1">
      <c r="A63" s="9" t="s">
        <v>81</v>
      </c>
      <c r="B63" s="34">
        <f>IFERROR(MAX(Q8:Q27),"")</f>
        <v>-0.003039124269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ht="15.75" customHeight="1">
      <c r="A64" s="9" t="s">
        <v>82</v>
      </c>
      <c r="B64" s="34">
        <f>IFERROR(AVERAGE(Q8:Q27),"")</f>
        <v>-0.08361255539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ht="31.5" customHeight="1">
      <c r="A66" s="36" t="s">
        <v>83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8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I1"/>
    <mergeCell ref="A6:I6"/>
    <mergeCell ref="A29:I29"/>
    <mergeCell ref="A39:I39"/>
    <mergeCell ref="A45:Q45"/>
    <mergeCell ref="A52:Q52"/>
    <mergeCell ref="A59:Q59"/>
    <mergeCell ref="A66:Q6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3" width="16.0"/>
    <col customWidth="1" min="4" max="4" width="28.0"/>
    <col customWidth="1" min="5" max="15" width="8.71"/>
  </cols>
  <sheetData>
    <row r="1" ht="21.75" customHeight="1">
      <c r="A1" s="37" t="s">
        <v>86</v>
      </c>
      <c r="B1" s="7"/>
      <c r="C1" s="7"/>
      <c r="D1" s="8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8" t="s">
        <v>87</v>
      </c>
      <c r="B3" s="38" t="s">
        <v>88</v>
      </c>
      <c r="C3" s="38" t="s">
        <v>89</v>
      </c>
      <c r="D3" s="38" t="s">
        <v>90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9" t="s">
        <v>91</v>
      </c>
      <c r="B4" s="39" t="str">
        <f>Thermistor_1!B3</f>
        <v>NTC-01</v>
      </c>
      <c r="C4" s="39" t="str">
        <f>Thermistor_2!B3</f>
        <v>NTC-02</v>
      </c>
      <c r="D4" s="40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>
      <c r="A5" s="9" t="s">
        <v>73</v>
      </c>
      <c r="B5" s="28">
        <f>Thermistor_1!B30</f>
        <v>3872.981374</v>
      </c>
      <c r="C5" s="28">
        <f>Thermistor_2!B30</f>
        <v>3857.269733</v>
      </c>
      <c r="D5" s="19">
        <f t="shared" ref="D5:D6" si="1">IFERROR(C5/B5,"")</f>
        <v>0.9959432696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>
      <c r="A6" s="9" t="s">
        <v>92</v>
      </c>
      <c r="B6" s="29">
        <f>Thermistor_1!B31</f>
        <v>98773.45989</v>
      </c>
      <c r="C6" s="29">
        <f>Thermistor_2!B31</f>
        <v>98142.30552</v>
      </c>
      <c r="D6" s="19">
        <f t="shared" si="1"/>
        <v>0.9936100814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>
      <c r="A7" s="9" t="s">
        <v>93</v>
      </c>
      <c r="B7" s="31">
        <f>Thermistor_1!B33</f>
        <v>0.9995718809</v>
      </c>
      <c r="C7" s="31">
        <f>Thermistor_2!B33</f>
        <v>0.9994005472</v>
      </c>
      <c r="D7" s="40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>
      <c r="A8" s="9" t="s">
        <v>94</v>
      </c>
      <c r="B8" s="29">
        <f>Thermistor_1!B36</f>
        <v>324323.0509</v>
      </c>
      <c r="C8" s="29">
        <f>Thermistor_2!B36</f>
        <v>320700.1506</v>
      </c>
      <c r="D8" s="19">
        <f t="shared" ref="D8:D9" si="2">IFERROR(C8/B8,"")</f>
        <v>0.9888293468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9" t="s">
        <v>95</v>
      </c>
      <c r="B9" s="29">
        <f>Thermistor_1!B37</f>
        <v>36157.13649</v>
      </c>
      <c r="C9" s="29">
        <f>Thermistor_2!B37</f>
        <v>36072.85888</v>
      </c>
      <c r="D9" s="19">
        <f t="shared" si="2"/>
        <v>0.997669129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>
      <c r="A10" s="9" t="s">
        <v>96</v>
      </c>
      <c r="B10" s="33">
        <f>Thermistor_1!B40</f>
        <v>0.0008259969752</v>
      </c>
      <c r="C10" s="33">
        <f>Thermistor_2!B40</f>
        <v>0.0008454762978</v>
      </c>
      <c r="D10" s="40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>
      <c r="A11" s="9" t="s">
        <v>97</v>
      </c>
      <c r="B11" s="33">
        <f>Thermistor_1!B41</f>
        <v>0.0001987447054</v>
      </c>
      <c r="C11" s="33">
        <f>Thermistor_2!B41</f>
        <v>0.0001953817084</v>
      </c>
      <c r="D11" s="4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>
      <c r="A12" s="9" t="s">
        <v>98</v>
      </c>
      <c r="B12" s="33">
        <f>Thermistor_1!B42</f>
        <v>0.0000001568288742</v>
      </c>
      <c r="C12" s="33">
        <f>Thermistor_2!B42</f>
        <v>0.0000001702921204</v>
      </c>
      <c r="D12" s="4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>
      <c r="A13" s="9" t="s">
        <v>58</v>
      </c>
      <c r="B13" s="32">
        <f>Thermistor_1!B34</f>
        <v>20</v>
      </c>
      <c r="C13" s="32">
        <f>Thermistor_2!B34</f>
        <v>20</v>
      </c>
      <c r="D13" s="4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9.5" customHeight="1">
      <c r="A15" s="27" t="s">
        <v>99</v>
      </c>
      <c r="B15" s="7"/>
      <c r="C15" s="7"/>
      <c r="D15" s="8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>
      <c r="A17" s="38" t="s">
        <v>87</v>
      </c>
      <c r="B17" s="38" t="s">
        <v>88</v>
      </c>
      <c r="C17" s="38" t="s">
        <v>89</v>
      </c>
      <c r="D17" s="38" t="s">
        <v>90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>
      <c r="A18" s="9" t="s">
        <v>100</v>
      </c>
      <c r="B18" s="28">
        <f>Thermistor_1!B53</f>
        <v>3816.564267</v>
      </c>
      <c r="C18" s="28">
        <f>Thermistor_2!B53</f>
        <v>3820.824309</v>
      </c>
      <c r="D18" s="19">
        <f>IFERROR(C18/B18,"")</f>
        <v>1.001116198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>
      <c r="A19" s="9" t="s">
        <v>101</v>
      </c>
      <c r="B19" s="30">
        <f>Thermistor_1!B54</f>
        <v>-1.288503865</v>
      </c>
      <c r="C19" s="30">
        <f>Thermistor_2!B54</f>
        <v>-1.306170354</v>
      </c>
      <c r="D19" s="40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>
      <c r="A20" s="9" t="s">
        <v>102</v>
      </c>
      <c r="B20" s="29">
        <f>Thermistor_1!B55</f>
        <v>99939.01327</v>
      </c>
      <c r="C20" s="29">
        <f>Thermistor_2!B55</f>
        <v>99601.96521</v>
      </c>
      <c r="D20" s="19">
        <f>IFERROR(C20/B20,"")</f>
        <v>0.9966274626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5.75" customHeight="1">
      <c r="A21" s="9" t="s">
        <v>103</v>
      </c>
      <c r="B21" s="32">
        <f>Thermistor_1!B56</f>
        <v>10</v>
      </c>
      <c r="C21" s="32">
        <f>Thermistor_2!B56</f>
        <v>10</v>
      </c>
      <c r="D21" s="40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5.75" customHeight="1">
      <c r="A22" s="9" t="s">
        <v>76</v>
      </c>
      <c r="B22" s="31">
        <f>Thermistor_1!B57</f>
        <v>0.9996490425</v>
      </c>
      <c r="C22" s="31">
        <f>Thermistor_2!B57</f>
        <v>0.999702956</v>
      </c>
      <c r="D22" s="40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5.75" customHeight="1">
      <c r="A23" s="9" t="s">
        <v>104</v>
      </c>
      <c r="B23" s="32">
        <f>Thermistor_1!B60</f>
        <v>6</v>
      </c>
      <c r="C23" s="32">
        <f>Thermistor_2!B60</f>
        <v>6</v>
      </c>
      <c r="D23" s="40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ht="15.75" customHeight="1">
      <c r="A24" s="9" t="s">
        <v>105</v>
      </c>
      <c r="B24" s="34">
        <f>Thermistor_1!B61</f>
        <v>0.1197931658</v>
      </c>
      <c r="C24" s="34">
        <f>Thermistor_2!B61</f>
        <v>0.09898513338</v>
      </c>
      <c r="D24" s="40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ht="15.75" customHeight="1">
      <c r="A25" s="9" t="s">
        <v>106</v>
      </c>
      <c r="B25" s="34">
        <f>Thermistor_1!B62</f>
        <v>-0.210358073</v>
      </c>
      <c r="C25" s="34">
        <f>Thermistor_2!B62</f>
        <v>-0.1530905009</v>
      </c>
      <c r="D25" s="40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ht="15.75" customHeight="1">
      <c r="A26" s="9" t="s">
        <v>107</v>
      </c>
      <c r="B26" s="34">
        <f>Thermistor_1!B63</f>
        <v>0.06700284824</v>
      </c>
      <c r="C26" s="34">
        <f>Thermistor_2!B63</f>
        <v>-0.003039124269</v>
      </c>
      <c r="D26" s="40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ht="15.75" customHeight="1">
      <c r="A27" s="9" t="s">
        <v>108</v>
      </c>
      <c r="B27" s="34">
        <f>Thermistor_1!B64</f>
        <v>-0.08428886152</v>
      </c>
      <c r="C27" s="34">
        <f>Thermistor_2!B64</f>
        <v>-0.08361255539</v>
      </c>
      <c r="D27" s="40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15:D15"/>
  </mergeCells>
  <printOptions/>
  <pageMargins bottom="1.0" footer="0.0" header="0.0" left="0.75" right="0.75" top="1.0"/>
  <pageSetup paperSize="9" orientation="portrait"/>
  <drawing r:id="rId1"/>
</worksheet>
</file>